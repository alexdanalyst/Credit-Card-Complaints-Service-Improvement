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actions" sheetId="1" state="visible" r:id="rId3"/>
    <sheet name="Expense Detail" sheetId="2" state="visible" r:id="rId4"/>
    <sheet name="Catego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<sst xmlns="http://schemas.openxmlformats.org/spreadsheetml/2006/main" count="464" uniqueCount="128">
  <si>
    <t xml:space="preserve">TransactionID</t>
  </si>
  <si>
    <t xml:space="preserve">Date</t>
  </si>
  <si>
    <t xml:space="preserve">Year</t>
  </si>
  <si>
    <t xml:space="preserve">Month</t>
  </si>
  <si>
    <t xml:space="preserve">Source</t>
  </si>
  <si>
    <t xml:space="preserve">Description</t>
  </si>
  <si>
    <t xml:space="preserve">PreviousBalance</t>
  </si>
  <si>
    <t xml:space="preserve">Income</t>
  </si>
  <si>
    <t xml:space="preserve">Expense</t>
  </si>
  <si>
    <t xml:space="preserve">Net</t>
  </si>
  <si>
    <t xml:space="preserve">Balance</t>
  </si>
  <si>
    <t xml:space="preserve">NeedsReview</t>
  </si>
  <si>
    <t xml:space="preserve">ReviewNote</t>
  </si>
  <si>
    <t xml:space="preserve">Notes</t>
  </si>
  <si>
    <t xml:space="preserve">ADF Sales</t>
  </si>
  <si>
    <t xml:space="preserve">Daily overhead (pos, salary, fuel, flex, thread)</t>
  </si>
  <si>
    <t xml:space="preserve">Pos 17,500; Red thread 500; Ezekiel salary 13,000; Fuel 6,000; Flex 3,500. Source recorded balance as 27,500; Income-Expense actually = 28,000 (500 discrepancy in original data, not corrected here).</t>
  </si>
  <si>
    <t xml:space="preserve">Polo, birthday, joggers &amp; materials bought</t>
  </si>
  <si>
    <t xml:space="preserve">Exclusive polo 15,000; Birthday celebration 7,100; Zip line for suit 500; Black joggers 4yd 4,000; Damask 1.5yd 2,250; Pos charges 150; Kennedy 600. No income recorded this day.</t>
  </si>
  <si>
    <t xml:space="preserve">Customer payments (Ovie Jesse, Emmanuel, Precious Adaregba) + daily overhead</t>
  </si>
  <si>
    <t xml:space="preserve">Source spreadsheet only entered 23,000 in the Income column, but the description lists three named payments totalling 68,000 (Ovie Jesse 23,000; Emmanuel 20,000; Precious Adaregba 25,000). Used 68,000 here - please confirm the actual amount received.</t>
  </si>
  <si>
    <t xml:space="preserve">Expenses (same as 07 Oct): Pos 17,500; Red thread 500; Ezekiel salary 13,000; Fuel 6,000; Flex 3,500.</t>
  </si>
  <si>
    <t xml:space="preserve">Vivian materials + generator running costs</t>
  </si>
  <si>
    <t xml:space="preserve">White leather 2yd, lemon leather 0.5yd, army green leather 3yd, royal blue baseball 2yd, white hoody 3yd and collar band x4 are listed with no individual price (may be bundled into the 22,050 canvas figure, or unpriced).</t>
  </si>
  <si>
    <t xml:space="preserve">Priced items only: Canvas 8yd 22,050; Lining 2yd 800; White hoody 1.5yd 1,500; Transport 150; Pos 100; Generator man 5,000; Adf transfer 8,000; Gas for generator 12,300.</t>
  </si>
  <si>
    <t xml:space="preserve">Joggers down payment + Vivian materials</t>
  </si>
  <si>
    <t xml:space="preserve">Joggers down payment 9,500; Materials (thick off-white lavender, thick jean, white material, jacket material, purple lining - bundled price) 9,100; Transport 1,400.</t>
  </si>
  <si>
    <t xml:space="preserve">Materials (jeans, hoody, lavenda) - POS/ADF transfer entries excluded</t>
  </si>
  <si>
    <t xml:space="preserve">POS/ADF-transfer entries in the source [Pos -11,000; pos 300; Adf transfer to pos 15,000; pos for Generator gas -11,200 - net -6,900] were excluded because the negative signs make cash direction unclear - please confirm before including.</t>
  </si>
  <si>
    <t xml:space="preserve">Included expenses: Band 2yd 1,000; Red hoody 1.5yd 1,500; Lavenda 4yd 4,800; Sky blue jean 5yd 7,500; Black jean 5yd 6,000; Biro blue jean 5.5yd 7,500; Transport 300; 2 Zip 200; White inbuilt lavender 3.5yd 4,850; Hair &amp; red material (from POS) 4,000.</t>
  </si>
  <si>
    <t xml:space="preserve">Mummy twin (customer payment) + materials</t>
  </si>
  <si>
    <t xml:space="preserve">Income: Mummy twin 19,000 (customer payment). Expenses: materials for mummy twin 12,100; materials for red jacket &amp; vest 6,400.</t>
  </si>
  <si>
    <t xml:space="preserve">Materials for BBJ</t>
  </si>
  <si>
    <t xml:space="preserve">Materials for BBJ 6,400.</t>
  </si>
  <si>
    <t xml:space="preserve">Sublimation prints - generator gas entry excluded</t>
  </si>
  <si>
    <t xml:space="preserve">'Generator gas (-11,200)' sign unclear, excluded from totals - please confirm direction.</t>
  </si>
  <si>
    <t xml:space="preserve">Sublimation prints 5,000 included.</t>
  </si>
  <si>
    <t xml:space="preserve">Shirt printing sold; white velvet &amp; Engineer Olu paid</t>
  </si>
  <si>
    <t xml:space="preserve">Income: shirt printing 2,500. Expenses: white velvet 500; Engineer Olu 2,000.</t>
  </si>
  <si>
    <t xml:space="preserve">Black busy jacket + combat outfit + 2 caps sold</t>
  </si>
  <si>
    <t xml:space="preserve">Income: black busy jacket with combat outfit and two caps 53,000. Expenses: gas for generator + transport 13,000; button hole woman 3,000; white canvas 1,000; flex 3,500.</t>
  </si>
  <si>
    <t xml:space="preserve">Victoria's logo printing sold; monogram expense</t>
  </si>
  <si>
    <t xml:space="preserve">Opening balance 32,500 and closing balance 13,200 were explicitly stated in the source. Income: printing of Victoria's logo 2,000. Expense: monogram 21,300.</t>
  </si>
  <si>
    <t xml:space="preserve">Cashflow Analysis</t>
  </si>
  <si>
    <t xml:space="preserve">2 pink Caps (covers 26-27 Jul 2025)</t>
  </si>
  <si>
    <t xml:space="preserve">Gas 12,000; Oil 5,000; Threads 2,100</t>
  </si>
  <si>
    <t xml:space="preserve">Deposit for hoodie and jogger</t>
  </si>
  <si>
    <t xml:space="preserve">Materials 12,600; Nepa bill 8,200; Transport to waybill parks 2,000; Threads 1,400</t>
  </si>
  <si>
    <t xml:space="preserve">White cap bought</t>
  </si>
  <si>
    <t xml:space="preserve">Money owed (Elastic, button holes &amp; buttons) 5,000; Nepa bill 7,200</t>
  </si>
  <si>
    <t xml:space="preserve">Blue cap bought</t>
  </si>
  <si>
    <t xml:space="preserve">Gas 8,000</t>
  </si>
  <si>
    <t xml:space="preserve">20k deposit from RCK &amp; 20k deposit for leather top with inner and trouser outfit</t>
  </si>
  <si>
    <t xml:space="preserve">Materials bought by Kennedy 25,000; Oil 5,000</t>
  </si>
  <si>
    <t xml:space="preserve">Jean up and down bought</t>
  </si>
  <si>
    <t xml:space="preserve">Gas 12,000; Button holes and threads 5,000</t>
  </si>
  <si>
    <t xml:space="preserve">Old top and short bought</t>
  </si>
  <si>
    <t xml:space="preserve">Gas 12,000</t>
  </si>
  <si>
    <t xml:space="preserve">4 caps bought</t>
  </si>
  <si>
    <t xml:space="preserve">Gas 5,000; Money collected for Mummy Sean part payment to Ose 55,000</t>
  </si>
  <si>
    <t xml:space="preserve">Alhaji up and down outfit</t>
  </si>
  <si>
    <t xml:space="preserve">Button hole, threads and elastic 8,600; Nepa bill 8,000; Transport for waybill 1,500</t>
  </si>
  <si>
    <t xml:space="preserve">Deposit for sweatshirt with JoJo print &amp; skirt with up and down outfit</t>
  </si>
  <si>
    <t xml:space="preserve">Gas 12,000; Button hole &amp; thread 5,000; Money sent to Kennedy 50,000; ADF 7,000</t>
  </si>
  <si>
    <t xml:space="preserve">Up and down outfit bought</t>
  </si>
  <si>
    <t xml:space="preserve">Fuel 12,000; Threads &amp; zips 3,000</t>
  </si>
  <si>
    <t xml:space="preserve">Deposit for All-Over-Print sweatshirt and 5 pleated skirts (35k x 5)</t>
  </si>
  <si>
    <t xml:space="preserve">See Expense Detail table for full 11-line breakdown</t>
  </si>
  <si>
    <t xml:space="preserve">Transaction</t>
  </si>
  <si>
    <t xml:space="preserve">ExpenseItem</t>
  </si>
  <si>
    <t xml:space="preserve">Category</t>
  </si>
  <si>
    <t xml:space="preserve">Amount</t>
  </si>
  <si>
    <t xml:space="preserve">Daily overhead</t>
  </si>
  <si>
    <t xml:space="preserve">Pos charges</t>
  </si>
  <si>
    <t xml:space="preserve">Pos / bank charges</t>
  </si>
  <si>
    <t xml:space="preserve">Red thread</t>
  </si>
  <si>
    <t xml:space="preserve">Salaries</t>
  </si>
  <si>
    <t xml:space="preserve">Gas / Fuel</t>
  </si>
  <si>
    <t xml:space="preserve">Flex</t>
  </si>
  <si>
    <t xml:space="preserve">Polo, birthday, joggers &amp; materials</t>
  </si>
  <si>
    <t xml:space="preserve">Materials</t>
  </si>
  <si>
    <t xml:space="preserve">Personal / Non-business</t>
  </si>
  <si>
    <t xml:space="preserve">Threads / Sewing supplies</t>
  </si>
  <si>
    <t xml:space="preserve">Money sent/owed to others</t>
  </si>
  <si>
    <t xml:space="preserve">Customer payments + daily overhead</t>
  </si>
  <si>
    <t xml:space="preserve">Vivian materials + generator</t>
  </si>
  <si>
    <t xml:space="preserve">Transport / Waybill</t>
  </si>
  <si>
    <t xml:space="preserve">Labour / Piece rate / Services</t>
  </si>
  <si>
    <t xml:space="preserve">Labour / Services</t>
  </si>
  <si>
    <t xml:space="preserve">ADF transfer</t>
  </si>
  <si>
    <t xml:space="preserve">ADF</t>
  </si>
  <si>
    <t xml:space="preserve">Joggers deposit + Vivian materials</t>
  </si>
  <si>
    <t xml:space="preserve">Materials (jeans, hoody, lavenda)</t>
  </si>
  <si>
    <t xml:space="preserve">Mummy twin + materials</t>
  </si>
  <si>
    <t xml:space="preserve">Sublimation prints</t>
  </si>
  <si>
    <t xml:space="preserve">Shirt printing</t>
  </si>
  <si>
    <t xml:space="preserve">Black busy jacket + combat + 2 caps</t>
  </si>
  <si>
    <t xml:space="preserve">Victoria's logo printing</t>
  </si>
  <si>
    <t xml:space="preserve">2 pink Caps</t>
  </si>
  <si>
    <t xml:space="preserve">Gas</t>
  </si>
  <si>
    <t xml:space="preserve">Oil</t>
  </si>
  <si>
    <t xml:space="preserve">Threads</t>
  </si>
  <si>
    <t xml:space="preserve">Nepa bill</t>
  </si>
  <si>
    <t xml:space="preserve">Nepa bill (electricity)</t>
  </si>
  <si>
    <t xml:space="preserve">Transport to waybill parks</t>
  </si>
  <si>
    <t xml:space="preserve">Money owed (elastic, button holes &amp; buttons)</t>
  </si>
  <si>
    <t xml:space="preserve">20k deposit RCK &amp; 20k deposit leather top/trouser outfit</t>
  </si>
  <si>
    <t xml:space="preserve">Materials bought by Kennedy</t>
  </si>
  <si>
    <t xml:space="preserve">Button holes and threads</t>
  </si>
  <si>
    <t xml:space="preserve">Money collected for Mummy Sean - part payment to Ose</t>
  </si>
  <si>
    <t xml:space="preserve">Button hole, threads and elastic</t>
  </si>
  <si>
    <t xml:space="preserve">Transport for waybill</t>
  </si>
  <si>
    <t xml:space="preserve">Deposit sweatshirt (JoJo print) &amp; skirt outfit</t>
  </si>
  <si>
    <t xml:space="preserve">Button hole &amp; thread</t>
  </si>
  <si>
    <t xml:space="preserve">Money sent to Kennedy</t>
  </si>
  <si>
    <t xml:space="preserve">Fuel</t>
  </si>
  <si>
    <t xml:space="preserve">Threads &amp; zips</t>
  </si>
  <si>
    <t xml:space="preserve">Deposit: All-Over-Print sweatshirt &amp; 5 pleated skirts</t>
  </si>
  <si>
    <t xml:space="preserve">Labour/piece rate (1,900 x 14)</t>
  </si>
  <si>
    <t xml:space="preserve">Transport</t>
  </si>
  <si>
    <t xml:space="preserve">4 yards Baby Pink polo material</t>
  </si>
  <si>
    <t xml:space="preserve">2 yards Chucky Pink polo material</t>
  </si>
  <si>
    <t xml:space="preserve">Polo materials + bands</t>
  </si>
  <si>
    <t xml:space="preserve">Polo materials</t>
  </si>
  <si>
    <t xml:space="preserve">Office key</t>
  </si>
  <si>
    <t xml:space="preserve">Bands &amp; red material (sent to Kennedy)</t>
  </si>
  <si>
    <t xml:space="preserve">Threads, paper stay &amp; elastic</t>
  </si>
  <si>
    <t xml:space="preserve">Other</t>
  </si>
</sst>
</file>

<file path=xl/styles.xml><?xml version="1.0" encoding="utf-8"?>
<styleSheet xmlns="http://schemas.openxmlformats.org/spreadsheetml/2006/main">
  <numFmts count="4">
    <numFmt numFmtId="164" formatCode="General"/>
    <numFmt numFmtId="165" formatCode="yyyy\-mm\-dd"/>
    <numFmt numFmtId="166" formatCode="#,##0"/>
    <numFmt numFmtId="167"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Category" displayName="Category" ref="A1:A17" headerRowCount="1" totalsRowCount="0" totalsRowShown="0">
  <autoFilter ref="A1:A17"/>
  <tableColumns count="1">
    <tableColumn id="1" name="Category"/>
  </tableColumns>
</table>
</file>

<file path=xl/tables/table2.xml><?xml version="1.0" encoding="utf-8"?>
<table xmlns="http://schemas.openxmlformats.org/spreadsheetml/2006/main" id="2" name="ExpenseDetail" displayName="ExpenseDetail" ref="A1:I88" headerRowCount="1" totalsRowCount="0" totalsRowShown="0">
  <autoFilter ref="A1:I88"/>
  <tableColumns count="9">
    <tableColumn id="1" name="TransactionID"/>
    <tableColumn id="2" name="Date"/>
    <tableColumn id="3" name="Year"/>
    <tableColumn id="4" name="Month"/>
    <tableColumn id="5" name="Source"/>
    <tableColumn id="6" name="Transaction"/>
    <tableColumn id="7" name="ExpenseItem"/>
    <tableColumn id="8" name="Category"/>
    <tableColumn id="9" name="Amount"/>
  </tableColumns>
</table>
</file>

<file path=xl/tables/table3.xml><?xml version="1.0" encoding="utf-8"?>
<table xmlns="http://schemas.openxmlformats.org/spreadsheetml/2006/main" id="3" name="Transactions" displayName="Transactions" ref="A1:N25" headerRowCount="1" totalsRowCount="0" totalsRowShown="0">
  <autoFilter ref="A1:N25"/>
  <tableColumns count="14">
    <tableColumn id="1" name="TransactionID"/>
    <tableColumn id="2" name="Date"/>
    <tableColumn id="3" name="Year"/>
    <tableColumn id="4" name="Month"/>
    <tableColumn id="5" name="Source"/>
    <tableColumn id="6" name="Description"/>
    <tableColumn id="7" name="PreviousBalance"/>
    <tableColumn id="8" name="Income"/>
    <tableColumn id="9" name="Expense"/>
    <tableColumn id="10" name="Net"/>
    <tableColumn id="11" name="Balance"/>
    <tableColumn id="12" name="NeedsReview"/>
    <tableColumn id="13" name="ReviewNote"/>
    <tableColumn id="14"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4" min="3" style="0" width="7"/>
    <col collapsed="false" customWidth="true" hidden="false" outlineLevel="0" max="5" min="5" style="0" width="18"/>
    <col collapsed="false" customWidth="true" hidden="false" outlineLevel="0" max="6" min="6" style="0" width="42"/>
    <col collapsed="false" customWidth="true" hidden="false" outlineLevel="0" max="7" min="7" style="0" width="15"/>
    <col collapsed="false" customWidth="true" hidden="false" outlineLevel="0" max="11" min="8" style="0" width="11"/>
    <col collapsed="false" customWidth="true" hidden="false" outlineLevel="0" max="12" min="12" style="0" width="12"/>
    <col collapsed="false" customWidth="true" hidden="false" outlineLevel="0" max="13" min="13" style="0" width="45"/>
    <col collapsed="false" customWidth="true" hidden="false" outlineLevel="0" max="14" min="14" style="0" width="5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0" t="n">
        <v>1</v>
      </c>
      <c r="B2" s="2" t="n">
        <v>45206</v>
      </c>
      <c r="C2" s="0" t="n">
        <v>2023</v>
      </c>
      <c r="D2" s="0" t="n">
        <v>10</v>
      </c>
      <c r="E2" s="3" t="s">
        <v>14</v>
      </c>
      <c r="F2" s="3" t="s">
        <v>15</v>
      </c>
      <c r="H2" s="4" t="n">
        <v>68500</v>
      </c>
      <c r="I2" s="4" t="n">
        <v>40500</v>
      </c>
      <c r="J2" s="4" t="n">
        <v>28000</v>
      </c>
      <c r="K2" s="4" t="n">
        <v>28000</v>
      </c>
      <c r="L2" s="5" t="b">
        <f aca="false">FALSE()</f>
        <v>0</v>
      </c>
      <c r="N2" s="3" t="s">
        <v>16</v>
      </c>
    </row>
    <row r="3" customFormat="false" ht="15" hidden="false" customHeight="false" outlineLevel="0" collapsed="false">
      <c r="A3" s="0" t="n">
        <v>2</v>
      </c>
      <c r="B3" s="2" t="n">
        <v>45207</v>
      </c>
      <c r="C3" s="0" t="n">
        <v>2023</v>
      </c>
      <c r="D3" s="0" t="n">
        <v>10</v>
      </c>
      <c r="E3" s="3" t="s">
        <v>14</v>
      </c>
      <c r="F3" s="3" t="s">
        <v>17</v>
      </c>
      <c r="H3" s="4" t="n">
        <v>0</v>
      </c>
      <c r="I3" s="4" t="n">
        <v>29600</v>
      </c>
      <c r="J3" s="4" t="n">
        <v>-29600</v>
      </c>
      <c r="K3" s="4" t="n">
        <v>-29600</v>
      </c>
      <c r="L3" s="5" t="b">
        <f aca="false">FALSE()</f>
        <v>0</v>
      </c>
      <c r="N3" s="3" t="s">
        <v>18</v>
      </c>
    </row>
    <row r="4" customFormat="false" ht="15" hidden="false" customHeight="false" outlineLevel="0" collapsed="false">
      <c r="A4" s="0" t="n">
        <v>3</v>
      </c>
      <c r="B4" s="2" t="n">
        <v>45208</v>
      </c>
      <c r="C4" s="0" t="n">
        <v>2023</v>
      </c>
      <c r="D4" s="0" t="n">
        <v>10</v>
      </c>
      <c r="E4" s="3" t="s">
        <v>14</v>
      </c>
      <c r="F4" s="3" t="s">
        <v>19</v>
      </c>
      <c r="H4" s="4" t="n">
        <v>68000</v>
      </c>
      <c r="I4" s="4" t="n">
        <v>40500</v>
      </c>
      <c r="J4" s="4" t="n">
        <v>27500</v>
      </c>
      <c r="K4" s="4" t="n">
        <v>27500</v>
      </c>
      <c r="L4" s="5" t="b">
        <f aca="false">TRUE()</f>
        <v>1</v>
      </c>
      <c r="M4" s="3" t="s">
        <v>20</v>
      </c>
      <c r="N4" s="3" t="s">
        <v>21</v>
      </c>
    </row>
    <row r="5" customFormat="false" ht="15" hidden="false" customHeight="false" outlineLevel="0" collapsed="false">
      <c r="A5" s="0" t="n">
        <v>4</v>
      </c>
      <c r="B5" s="2" t="n">
        <v>45209</v>
      </c>
      <c r="C5" s="0" t="n">
        <v>2023</v>
      </c>
      <c r="D5" s="0" t="n">
        <v>10</v>
      </c>
      <c r="E5" s="3" t="s">
        <v>14</v>
      </c>
      <c r="F5" s="3" t="s">
        <v>22</v>
      </c>
      <c r="H5" s="4" t="n">
        <v>0</v>
      </c>
      <c r="I5" s="4" t="n">
        <v>49900</v>
      </c>
      <c r="J5" s="4" t="n">
        <v>-49900</v>
      </c>
      <c r="K5" s="4" t="n">
        <v>-49900</v>
      </c>
      <c r="L5" s="5" t="b">
        <f aca="false">TRUE()</f>
        <v>1</v>
      </c>
      <c r="M5" s="3" t="s">
        <v>23</v>
      </c>
      <c r="N5" s="3" t="s">
        <v>24</v>
      </c>
    </row>
    <row r="6" customFormat="false" ht="15" hidden="false" customHeight="false" outlineLevel="0" collapsed="false">
      <c r="A6" s="0" t="n">
        <v>5</v>
      </c>
      <c r="B6" s="2" t="n">
        <v>45210</v>
      </c>
      <c r="C6" s="0" t="n">
        <v>2023</v>
      </c>
      <c r="D6" s="0" t="n">
        <v>10</v>
      </c>
      <c r="E6" s="3" t="s">
        <v>14</v>
      </c>
      <c r="F6" s="3" t="s">
        <v>25</v>
      </c>
      <c r="H6" s="4" t="n">
        <v>0</v>
      </c>
      <c r="I6" s="4" t="n">
        <v>20000</v>
      </c>
      <c r="J6" s="4" t="n">
        <v>-20000</v>
      </c>
      <c r="K6" s="4" t="n">
        <v>-20000</v>
      </c>
      <c r="L6" s="5" t="b">
        <f aca="false">FALSE()</f>
        <v>0</v>
      </c>
      <c r="N6" s="3" t="s">
        <v>26</v>
      </c>
    </row>
    <row r="7" customFormat="false" ht="15" hidden="false" customHeight="false" outlineLevel="0" collapsed="false">
      <c r="A7" s="0" t="n">
        <v>6</v>
      </c>
      <c r="B7" s="2" t="n">
        <v>45211</v>
      </c>
      <c r="C7" s="0" t="n">
        <v>2023</v>
      </c>
      <c r="D7" s="0" t="n">
        <v>10</v>
      </c>
      <c r="E7" s="3" t="s">
        <v>14</v>
      </c>
      <c r="F7" s="3" t="s">
        <v>27</v>
      </c>
      <c r="H7" s="4" t="n">
        <v>0</v>
      </c>
      <c r="I7" s="4" t="n">
        <v>37650</v>
      </c>
      <c r="J7" s="4" t="n">
        <v>-37650</v>
      </c>
      <c r="K7" s="4" t="n">
        <v>-37650</v>
      </c>
      <c r="L7" s="5" t="b">
        <f aca="false">TRUE()</f>
        <v>1</v>
      </c>
      <c r="M7" s="3" t="s">
        <v>28</v>
      </c>
      <c r="N7" s="3" t="s">
        <v>29</v>
      </c>
    </row>
    <row r="8" customFormat="false" ht="15" hidden="false" customHeight="false" outlineLevel="0" collapsed="false">
      <c r="A8" s="0" t="n">
        <v>7</v>
      </c>
      <c r="B8" s="2" t="n">
        <v>45212</v>
      </c>
      <c r="C8" s="0" t="n">
        <v>2023</v>
      </c>
      <c r="D8" s="0" t="n">
        <v>10</v>
      </c>
      <c r="E8" s="3" t="s">
        <v>14</v>
      </c>
      <c r="F8" s="3" t="s">
        <v>30</v>
      </c>
      <c r="H8" s="4" t="n">
        <v>19000</v>
      </c>
      <c r="I8" s="4" t="n">
        <v>18500</v>
      </c>
      <c r="J8" s="4" t="n">
        <v>500</v>
      </c>
      <c r="K8" s="4" t="n">
        <v>500</v>
      </c>
      <c r="L8" s="5" t="b">
        <f aca="false">FALSE()</f>
        <v>0</v>
      </c>
      <c r="N8" s="3" t="s">
        <v>31</v>
      </c>
    </row>
    <row r="9" customFormat="false" ht="15" hidden="false" customHeight="false" outlineLevel="0" collapsed="false">
      <c r="A9" s="0" t="n">
        <v>8</v>
      </c>
      <c r="B9" s="2" t="n">
        <v>45213</v>
      </c>
      <c r="C9" s="0" t="n">
        <v>2023</v>
      </c>
      <c r="D9" s="0" t="n">
        <v>10</v>
      </c>
      <c r="E9" s="3" t="s">
        <v>14</v>
      </c>
      <c r="F9" s="3" t="s">
        <v>32</v>
      </c>
      <c r="H9" s="4" t="n">
        <v>0</v>
      </c>
      <c r="I9" s="4" t="n">
        <v>6400</v>
      </c>
      <c r="J9" s="4" t="n">
        <v>-6400</v>
      </c>
      <c r="K9" s="4" t="n">
        <v>-6400</v>
      </c>
      <c r="L9" s="5" t="b">
        <f aca="false">FALSE()</f>
        <v>0</v>
      </c>
      <c r="N9" s="3" t="s">
        <v>33</v>
      </c>
    </row>
    <row r="10" customFormat="false" ht="15" hidden="false" customHeight="false" outlineLevel="0" collapsed="false">
      <c r="A10" s="0" t="n">
        <v>9</v>
      </c>
      <c r="B10" s="2" t="n">
        <v>45220</v>
      </c>
      <c r="C10" s="0" t="n">
        <v>2023</v>
      </c>
      <c r="D10" s="0" t="n">
        <v>10</v>
      </c>
      <c r="E10" s="3" t="s">
        <v>14</v>
      </c>
      <c r="F10" s="3" t="s">
        <v>34</v>
      </c>
      <c r="H10" s="4" t="n">
        <v>0</v>
      </c>
      <c r="I10" s="4" t="n">
        <v>5000</v>
      </c>
      <c r="J10" s="4" t="n">
        <v>-5000</v>
      </c>
      <c r="K10" s="4" t="n">
        <v>-5000</v>
      </c>
      <c r="L10" s="5" t="b">
        <f aca="false">TRUE()</f>
        <v>1</v>
      </c>
      <c r="M10" s="3" t="s">
        <v>35</v>
      </c>
      <c r="N10" s="3" t="s">
        <v>36</v>
      </c>
    </row>
    <row r="11" customFormat="false" ht="15" hidden="false" customHeight="false" outlineLevel="0" collapsed="false">
      <c r="A11" s="0" t="n">
        <v>10</v>
      </c>
      <c r="B11" s="2" t="n">
        <v>45223</v>
      </c>
      <c r="C11" s="0" t="n">
        <v>2023</v>
      </c>
      <c r="D11" s="0" t="n">
        <v>10</v>
      </c>
      <c r="E11" s="3" t="s">
        <v>14</v>
      </c>
      <c r="F11" s="3" t="s">
        <v>37</v>
      </c>
      <c r="H11" s="4" t="n">
        <v>2500</v>
      </c>
      <c r="I11" s="4" t="n">
        <v>2500</v>
      </c>
      <c r="J11" s="4" t="n">
        <v>0</v>
      </c>
      <c r="K11" s="4" t="n">
        <v>0</v>
      </c>
      <c r="L11" s="5" t="b">
        <f aca="false">FALSE()</f>
        <v>0</v>
      </c>
      <c r="N11" s="3" t="s">
        <v>38</v>
      </c>
    </row>
    <row r="12" customFormat="false" ht="15" hidden="false" customHeight="false" outlineLevel="0" collapsed="false">
      <c r="A12" s="0" t="n">
        <v>11</v>
      </c>
      <c r="B12" s="2" t="n">
        <v>45226</v>
      </c>
      <c r="C12" s="0" t="n">
        <v>2023</v>
      </c>
      <c r="D12" s="0" t="n">
        <v>10</v>
      </c>
      <c r="E12" s="3" t="s">
        <v>14</v>
      </c>
      <c r="F12" s="3" t="s">
        <v>39</v>
      </c>
      <c r="H12" s="4" t="n">
        <v>53000</v>
      </c>
      <c r="I12" s="4" t="n">
        <v>20500</v>
      </c>
      <c r="J12" s="4" t="n">
        <v>32500</v>
      </c>
      <c r="K12" s="4" t="n">
        <v>32500</v>
      </c>
      <c r="L12" s="5" t="b">
        <f aca="false">FALSE()</f>
        <v>0</v>
      </c>
      <c r="N12" s="3" t="s">
        <v>40</v>
      </c>
    </row>
    <row r="13" customFormat="false" ht="15" hidden="false" customHeight="false" outlineLevel="0" collapsed="false">
      <c r="A13" s="0" t="n">
        <v>12</v>
      </c>
      <c r="B13" s="2" t="n">
        <v>45227</v>
      </c>
      <c r="C13" s="0" t="n">
        <v>2023</v>
      </c>
      <c r="D13" s="0" t="n">
        <v>10</v>
      </c>
      <c r="E13" s="3" t="s">
        <v>14</v>
      </c>
      <c r="F13" s="3" t="s">
        <v>41</v>
      </c>
      <c r="G13" s="4" t="n">
        <v>32500</v>
      </c>
      <c r="H13" s="4" t="n">
        <v>2000</v>
      </c>
      <c r="I13" s="4" t="n">
        <v>21300</v>
      </c>
      <c r="J13" s="4" t="n">
        <v>-19300</v>
      </c>
      <c r="K13" s="4" t="n">
        <v>13200</v>
      </c>
      <c r="L13" s="5" t="b">
        <f aca="false">FALSE()</f>
        <v>0</v>
      </c>
      <c r="N13" s="3" t="s">
        <v>42</v>
      </c>
    </row>
    <row r="14" customFormat="false" ht="15" hidden="false" customHeight="false" outlineLevel="0" collapsed="false">
      <c r="A14" s="0" t="n">
        <v>13</v>
      </c>
      <c r="B14" s="2" t="n">
        <v>45864</v>
      </c>
      <c r="C14" s="0" t="n">
        <v>2025</v>
      </c>
      <c r="D14" s="0" t="n">
        <v>7</v>
      </c>
      <c r="E14" s="3" t="s">
        <v>43</v>
      </c>
      <c r="F14" s="3" t="s">
        <v>44</v>
      </c>
      <c r="H14" s="4" t="n">
        <v>28000</v>
      </c>
      <c r="I14" s="4" t="n">
        <v>19100</v>
      </c>
      <c r="J14" s="4" t="n">
        <v>8900</v>
      </c>
      <c r="K14" s="4" t="n">
        <v>8900</v>
      </c>
      <c r="L14" s="5" t="b">
        <f aca="false">FALSE()</f>
        <v>0</v>
      </c>
      <c r="N14" s="3" t="s">
        <v>45</v>
      </c>
    </row>
    <row r="15" customFormat="false" ht="15" hidden="false" customHeight="false" outlineLevel="0" collapsed="false">
      <c r="A15" s="0" t="n">
        <v>14</v>
      </c>
      <c r="B15" s="2" t="n">
        <v>45884</v>
      </c>
      <c r="C15" s="0" t="n">
        <v>2025</v>
      </c>
      <c r="D15" s="0" t="n">
        <v>8</v>
      </c>
      <c r="E15" s="3" t="s">
        <v>43</v>
      </c>
      <c r="F15" s="3" t="s">
        <v>46</v>
      </c>
      <c r="H15" s="4" t="n">
        <v>25000</v>
      </c>
      <c r="I15" s="4" t="n">
        <v>24200</v>
      </c>
      <c r="J15" s="4" t="n">
        <v>800</v>
      </c>
      <c r="K15" s="4" t="n">
        <v>800</v>
      </c>
      <c r="L15" s="5" t="b">
        <f aca="false">FALSE()</f>
        <v>0</v>
      </c>
      <c r="N15" s="3" t="s">
        <v>47</v>
      </c>
    </row>
    <row r="16" customFormat="false" ht="15" hidden="false" customHeight="false" outlineLevel="0" collapsed="false">
      <c r="A16" s="0" t="n">
        <v>15</v>
      </c>
      <c r="B16" s="2" t="n">
        <v>45948</v>
      </c>
      <c r="C16" s="0" t="n">
        <v>2025</v>
      </c>
      <c r="D16" s="0" t="n">
        <v>10</v>
      </c>
      <c r="E16" s="3" t="s">
        <v>43</v>
      </c>
      <c r="F16" s="3" t="s">
        <v>48</v>
      </c>
      <c r="G16" s="4" t="n">
        <v>12000</v>
      </c>
      <c r="H16" s="4" t="n">
        <v>12000</v>
      </c>
      <c r="I16" s="4" t="n">
        <v>12200</v>
      </c>
      <c r="J16" s="4" t="n">
        <v>-200</v>
      </c>
      <c r="K16" s="4" t="n">
        <v>11800</v>
      </c>
      <c r="L16" s="5" t="b">
        <f aca="false">FALSE()</f>
        <v>0</v>
      </c>
      <c r="N16" s="3" t="s">
        <v>49</v>
      </c>
    </row>
    <row r="17" customFormat="false" ht="15" hidden="false" customHeight="false" outlineLevel="0" collapsed="false">
      <c r="A17" s="0" t="n">
        <v>16</v>
      </c>
      <c r="B17" s="2" t="n">
        <v>45966</v>
      </c>
      <c r="C17" s="0" t="n">
        <v>2025</v>
      </c>
      <c r="D17" s="0" t="n">
        <v>11</v>
      </c>
      <c r="E17" s="3" t="s">
        <v>43</v>
      </c>
      <c r="F17" s="3" t="s">
        <v>50</v>
      </c>
      <c r="H17" s="4" t="n">
        <v>12000</v>
      </c>
      <c r="I17" s="4" t="n">
        <v>8000</v>
      </c>
      <c r="J17" s="4" t="n">
        <v>4000</v>
      </c>
      <c r="K17" s="4" t="n">
        <v>4000</v>
      </c>
      <c r="L17" s="5" t="b">
        <f aca="false">FALSE()</f>
        <v>0</v>
      </c>
      <c r="N17" s="3" t="s">
        <v>51</v>
      </c>
    </row>
    <row r="18" customFormat="false" ht="15" hidden="false" customHeight="false" outlineLevel="0" collapsed="false">
      <c r="A18" s="0" t="n">
        <v>17</v>
      </c>
      <c r="B18" s="2" t="n">
        <v>45982</v>
      </c>
      <c r="C18" s="0" t="n">
        <v>2025</v>
      </c>
      <c r="D18" s="0" t="n">
        <v>11</v>
      </c>
      <c r="E18" s="3" t="s">
        <v>43</v>
      </c>
      <c r="F18" s="3" t="s">
        <v>52</v>
      </c>
      <c r="H18" s="4" t="n">
        <v>40000</v>
      </c>
      <c r="I18" s="4" t="n">
        <v>30000</v>
      </c>
      <c r="J18" s="4" t="n">
        <v>10000</v>
      </c>
      <c r="K18" s="4" t="n">
        <v>10000</v>
      </c>
      <c r="L18" s="5" t="b">
        <f aca="false">FALSE()</f>
        <v>0</v>
      </c>
      <c r="N18" s="3" t="s">
        <v>53</v>
      </c>
    </row>
    <row r="19" customFormat="false" ht="15" hidden="false" customHeight="false" outlineLevel="0" collapsed="false">
      <c r="A19" s="0" t="n">
        <v>18</v>
      </c>
      <c r="B19" s="2" t="n">
        <v>45996</v>
      </c>
      <c r="C19" s="0" t="n">
        <v>2025</v>
      </c>
      <c r="D19" s="0" t="n">
        <v>12</v>
      </c>
      <c r="E19" s="3" t="s">
        <v>43</v>
      </c>
      <c r="F19" s="3" t="s">
        <v>54</v>
      </c>
      <c r="H19" s="4" t="n">
        <v>40000</v>
      </c>
      <c r="I19" s="4" t="n">
        <v>17000</v>
      </c>
      <c r="J19" s="4" t="n">
        <v>23000</v>
      </c>
      <c r="K19" s="4" t="n">
        <v>23000</v>
      </c>
      <c r="L19" s="5" t="b">
        <f aca="false">FALSE()</f>
        <v>0</v>
      </c>
      <c r="N19" s="3" t="s">
        <v>55</v>
      </c>
    </row>
    <row r="20" customFormat="false" ht="15" hidden="false" customHeight="false" outlineLevel="0" collapsed="false">
      <c r="A20" s="0" t="n">
        <v>19</v>
      </c>
      <c r="B20" s="2" t="n">
        <v>46000</v>
      </c>
      <c r="C20" s="0" t="n">
        <v>2025</v>
      </c>
      <c r="D20" s="0" t="n">
        <v>12</v>
      </c>
      <c r="E20" s="3" t="s">
        <v>43</v>
      </c>
      <c r="F20" s="3" t="s">
        <v>56</v>
      </c>
      <c r="H20" s="4" t="n">
        <v>30000</v>
      </c>
      <c r="I20" s="4" t="n">
        <v>12000</v>
      </c>
      <c r="J20" s="4" t="n">
        <v>18000</v>
      </c>
      <c r="K20" s="4" t="n">
        <v>18000</v>
      </c>
      <c r="L20" s="5" t="b">
        <f aca="false">FALSE()</f>
        <v>0</v>
      </c>
      <c r="N20" s="3" t="s">
        <v>57</v>
      </c>
    </row>
    <row r="21" customFormat="false" ht="15" hidden="false" customHeight="false" outlineLevel="0" collapsed="false">
      <c r="A21" s="0" t="n">
        <v>20</v>
      </c>
      <c r="B21" s="2" t="n">
        <v>46004</v>
      </c>
      <c r="C21" s="0" t="n">
        <v>2025</v>
      </c>
      <c r="D21" s="0" t="n">
        <v>12</v>
      </c>
      <c r="E21" s="3" t="s">
        <v>43</v>
      </c>
      <c r="F21" s="3" t="s">
        <v>58</v>
      </c>
      <c r="H21" s="4" t="n">
        <v>72000</v>
      </c>
      <c r="I21" s="4" t="n">
        <v>60000</v>
      </c>
      <c r="J21" s="4" t="n">
        <v>12000</v>
      </c>
      <c r="K21" s="4" t="n">
        <v>12000</v>
      </c>
      <c r="L21" s="5" t="b">
        <f aca="false">FALSE()</f>
        <v>0</v>
      </c>
      <c r="N21" s="3" t="s">
        <v>59</v>
      </c>
    </row>
    <row r="22" customFormat="false" ht="15" hidden="false" customHeight="false" outlineLevel="0" collapsed="false">
      <c r="A22" s="0" t="n">
        <v>21</v>
      </c>
      <c r="B22" s="2" t="n">
        <v>46008</v>
      </c>
      <c r="C22" s="0" t="n">
        <v>2025</v>
      </c>
      <c r="D22" s="0" t="n">
        <v>12</v>
      </c>
      <c r="E22" s="3" t="s">
        <v>43</v>
      </c>
      <c r="F22" s="3" t="s">
        <v>60</v>
      </c>
      <c r="H22" s="4" t="n">
        <v>50000</v>
      </c>
      <c r="I22" s="4" t="n">
        <v>18100</v>
      </c>
      <c r="J22" s="4" t="n">
        <v>31900</v>
      </c>
      <c r="K22" s="4" t="n">
        <v>31900</v>
      </c>
      <c r="L22" s="5" t="b">
        <f aca="false">FALSE()</f>
        <v>0</v>
      </c>
      <c r="N22" s="3" t="s">
        <v>61</v>
      </c>
    </row>
    <row r="23" customFormat="false" ht="15" hidden="false" customHeight="false" outlineLevel="0" collapsed="false">
      <c r="A23" s="0" t="n">
        <v>22</v>
      </c>
      <c r="B23" s="2" t="n">
        <v>46010</v>
      </c>
      <c r="C23" s="0" t="n">
        <v>2025</v>
      </c>
      <c r="D23" s="0" t="n">
        <v>12</v>
      </c>
      <c r="E23" s="3" t="s">
        <v>43</v>
      </c>
      <c r="F23" s="3" t="s">
        <v>62</v>
      </c>
      <c r="G23" s="4" t="n">
        <v>15900</v>
      </c>
      <c r="H23" s="4" t="n">
        <v>80000</v>
      </c>
      <c r="I23" s="4" t="n">
        <v>74000</v>
      </c>
      <c r="J23" s="4" t="n">
        <v>6000</v>
      </c>
      <c r="K23" s="4" t="n">
        <v>21900</v>
      </c>
      <c r="L23" s="5" t="b">
        <f aca="false">FALSE()</f>
        <v>0</v>
      </c>
      <c r="N23" s="3" t="s">
        <v>63</v>
      </c>
    </row>
    <row r="24" customFormat="false" ht="15" hidden="false" customHeight="false" outlineLevel="0" collapsed="false">
      <c r="A24" s="0" t="n">
        <v>23</v>
      </c>
      <c r="B24" s="2" t="n">
        <v>46015</v>
      </c>
      <c r="C24" s="0" t="n">
        <v>2025</v>
      </c>
      <c r="D24" s="0" t="n">
        <v>12</v>
      </c>
      <c r="E24" s="3" t="s">
        <v>43</v>
      </c>
      <c r="F24" s="3" t="s">
        <v>64</v>
      </c>
      <c r="H24" s="4" t="n">
        <v>50000</v>
      </c>
      <c r="I24" s="4" t="n">
        <v>15000</v>
      </c>
      <c r="J24" s="4" t="n">
        <v>35000</v>
      </c>
      <c r="K24" s="4" t="n">
        <v>35000</v>
      </c>
      <c r="L24" s="5" t="b">
        <f aca="false">FALSE()</f>
        <v>0</v>
      </c>
      <c r="N24" s="3" t="s">
        <v>65</v>
      </c>
    </row>
    <row r="25" customFormat="false" ht="15" hidden="false" customHeight="false" outlineLevel="0" collapsed="false">
      <c r="A25" s="0" t="n">
        <v>24</v>
      </c>
      <c r="B25" s="2" t="n">
        <v>46091</v>
      </c>
      <c r="C25" s="0" t="n">
        <v>2026</v>
      </c>
      <c r="D25" s="0" t="n">
        <v>3</v>
      </c>
      <c r="E25" s="3" t="s">
        <v>43</v>
      </c>
      <c r="F25" s="3" t="s">
        <v>66</v>
      </c>
      <c r="H25" s="4" t="n">
        <v>165000</v>
      </c>
      <c r="I25" s="4" t="n">
        <v>130100</v>
      </c>
      <c r="J25" s="4" t="n">
        <v>34900</v>
      </c>
      <c r="K25" s="4" t="n">
        <v>34900</v>
      </c>
      <c r="L25" s="5" t="b">
        <f aca="false">FALSE()</f>
        <v>0</v>
      </c>
      <c r="N25" s="3"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4" min="3" style="0" width="7"/>
    <col collapsed="false" customWidth="true" hidden="false" outlineLevel="0" max="5" min="5" style="0" width="18"/>
    <col collapsed="false" customWidth="true" hidden="false" outlineLevel="0" max="7" min="6" style="0" width="42"/>
    <col collapsed="false" customWidth="true" hidden="false" outlineLevel="0" max="8" min="8" style="0" width="26"/>
    <col collapsed="false" customWidth="true" hidden="false" outlineLevel="0" max="9" min="9" style="0" width="12"/>
  </cols>
  <sheetData>
    <row r="1" customFormat="false" ht="15" hidden="false" customHeight="false" outlineLevel="0" collapsed="false">
      <c r="A1" s="1" t="s">
        <v>0</v>
      </c>
      <c r="B1" s="1" t="s">
        <v>1</v>
      </c>
      <c r="C1" s="1" t="s">
        <v>2</v>
      </c>
      <c r="D1" s="1" t="s">
        <v>3</v>
      </c>
      <c r="E1" s="1" t="s">
        <v>4</v>
      </c>
      <c r="F1" s="1" t="s">
        <v>68</v>
      </c>
      <c r="G1" s="1" t="s">
        <v>69</v>
      </c>
      <c r="H1" s="1" t="s">
        <v>70</v>
      </c>
      <c r="I1" s="1" t="s">
        <v>71</v>
      </c>
    </row>
    <row r="2" customFormat="false" ht="15" hidden="false" customHeight="false" outlineLevel="0" collapsed="false">
      <c r="A2" s="0" t="n">
        <v>1</v>
      </c>
      <c r="B2" s="2" t="n">
        <v>45206</v>
      </c>
      <c r="C2" s="0" t="n">
        <v>2023</v>
      </c>
      <c r="D2" s="0" t="n">
        <v>10</v>
      </c>
      <c r="E2" s="3" t="s">
        <v>14</v>
      </c>
      <c r="F2" s="3" t="s">
        <v>72</v>
      </c>
      <c r="G2" s="3" t="s">
        <v>73</v>
      </c>
      <c r="H2" s="3" t="s">
        <v>74</v>
      </c>
      <c r="I2" s="4" t="n">
        <v>17500</v>
      </c>
    </row>
    <row r="3" customFormat="false" ht="15" hidden="false" customHeight="false" outlineLevel="0" collapsed="false">
      <c r="A3" s="0" t="n">
        <v>1</v>
      </c>
      <c r="B3" s="2" t="n">
        <v>45206</v>
      </c>
      <c r="C3" s="0" t="n">
        <v>2023</v>
      </c>
      <c r="D3" s="0" t="n">
        <v>10</v>
      </c>
      <c r="E3" s="3" t="s">
        <v>14</v>
      </c>
      <c r="F3" s="3" t="s">
        <v>72</v>
      </c>
      <c r="G3" s="3" t="s">
        <v>75</v>
      </c>
      <c r="H3" s="3" t="s">
        <v>75</v>
      </c>
      <c r="I3" s="4" t="n">
        <v>500</v>
      </c>
    </row>
    <row r="4" customFormat="false" ht="15" hidden="false" customHeight="false" outlineLevel="0" collapsed="false">
      <c r="A4" s="0" t="n">
        <v>1</v>
      </c>
      <c r="B4" s="2" t="n">
        <v>45206</v>
      </c>
      <c r="C4" s="0" t="n">
        <v>2023</v>
      </c>
      <c r="D4" s="0" t="n">
        <v>10</v>
      </c>
      <c r="E4" s="3" t="s">
        <v>14</v>
      </c>
      <c r="F4" s="3" t="s">
        <v>72</v>
      </c>
      <c r="G4" s="3" t="s">
        <v>76</v>
      </c>
      <c r="H4" s="3" t="s">
        <v>76</v>
      </c>
      <c r="I4" s="4" t="n">
        <v>13000</v>
      </c>
    </row>
    <row r="5" customFormat="false" ht="15" hidden="false" customHeight="false" outlineLevel="0" collapsed="false">
      <c r="A5" s="0" t="n">
        <v>1</v>
      </c>
      <c r="B5" s="2" t="n">
        <v>45206</v>
      </c>
      <c r="C5" s="0" t="n">
        <v>2023</v>
      </c>
      <c r="D5" s="0" t="n">
        <v>10</v>
      </c>
      <c r="E5" s="3" t="s">
        <v>14</v>
      </c>
      <c r="F5" s="3" t="s">
        <v>72</v>
      </c>
      <c r="G5" s="3" t="s">
        <v>77</v>
      </c>
      <c r="H5" s="3" t="s">
        <v>77</v>
      </c>
      <c r="I5" s="4" t="n">
        <v>6000</v>
      </c>
    </row>
    <row r="6" customFormat="false" ht="15" hidden="false" customHeight="false" outlineLevel="0" collapsed="false">
      <c r="A6" s="0" t="n">
        <v>1</v>
      </c>
      <c r="B6" s="2" t="n">
        <v>45206</v>
      </c>
      <c r="C6" s="0" t="n">
        <v>2023</v>
      </c>
      <c r="D6" s="0" t="n">
        <v>10</v>
      </c>
      <c r="E6" s="3" t="s">
        <v>14</v>
      </c>
      <c r="F6" s="3" t="s">
        <v>72</v>
      </c>
      <c r="G6" s="3" t="s">
        <v>78</v>
      </c>
      <c r="H6" s="3" t="s">
        <v>78</v>
      </c>
      <c r="I6" s="4" t="n">
        <v>3500</v>
      </c>
    </row>
    <row r="7" customFormat="false" ht="15" hidden="false" customHeight="false" outlineLevel="0" collapsed="false">
      <c r="A7" s="0" t="n">
        <v>2</v>
      </c>
      <c r="B7" s="2" t="n">
        <v>45207</v>
      </c>
      <c r="C7" s="0" t="n">
        <v>2023</v>
      </c>
      <c r="D7" s="0" t="n">
        <v>10</v>
      </c>
      <c r="E7" s="3" t="s">
        <v>14</v>
      </c>
      <c r="F7" s="3" t="s">
        <v>79</v>
      </c>
      <c r="G7" s="3" t="s">
        <v>80</v>
      </c>
      <c r="H7" s="3" t="s">
        <v>80</v>
      </c>
      <c r="I7" s="4" t="n">
        <v>15000</v>
      </c>
    </row>
    <row r="8" customFormat="false" ht="15" hidden="false" customHeight="false" outlineLevel="0" collapsed="false">
      <c r="A8" s="0" t="n">
        <v>2</v>
      </c>
      <c r="B8" s="2" t="n">
        <v>45207</v>
      </c>
      <c r="C8" s="0" t="n">
        <v>2023</v>
      </c>
      <c r="D8" s="0" t="n">
        <v>10</v>
      </c>
      <c r="E8" s="3" t="s">
        <v>14</v>
      </c>
      <c r="F8" s="3" t="s">
        <v>79</v>
      </c>
      <c r="G8" s="3" t="s">
        <v>81</v>
      </c>
      <c r="H8" s="3" t="s">
        <v>81</v>
      </c>
      <c r="I8" s="4" t="n">
        <v>7100</v>
      </c>
    </row>
    <row r="9" customFormat="false" ht="15" hidden="false" customHeight="false" outlineLevel="0" collapsed="false">
      <c r="A9" s="0" t="n">
        <v>2</v>
      </c>
      <c r="B9" s="2" t="n">
        <v>45207</v>
      </c>
      <c r="C9" s="0" t="n">
        <v>2023</v>
      </c>
      <c r="D9" s="0" t="n">
        <v>10</v>
      </c>
      <c r="E9" s="3" t="s">
        <v>14</v>
      </c>
      <c r="F9" s="3" t="s">
        <v>79</v>
      </c>
      <c r="G9" s="3" t="s">
        <v>82</v>
      </c>
      <c r="H9" s="3" t="s">
        <v>82</v>
      </c>
      <c r="I9" s="4" t="n">
        <v>500</v>
      </c>
    </row>
    <row r="10" customFormat="false" ht="15" hidden="false" customHeight="false" outlineLevel="0" collapsed="false">
      <c r="A10" s="0" t="n">
        <v>2</v>
      </c>
      <c r="B10" s="2" t="n">
        <v>45207</v>
      </c>
      <c r="C10" s="0" t="n">
        <v>2023</v>
      </c>
      <c r="D10" s="0" t="n">
        <v>10</v>
      </c>
      <c r="E10" s="3" t="s">
        <v>14</v>
      </c>
      <c r="F10" s="3" t="s">
        <v>79</v>
      </c>
      <c r="G10" s="3" t="s">
        <v>80</v>
      </c>
      <c r="H10" s="3" t="s">
        <v>80</v>
      </c>
      <c r="I10" s="4" t="n">
        <v>4000</v>
      </c>
    </row>
    <row r="11" customFormat="false" ht="15" hidden="false" customHeight="false" outlineLevel="0" collapsed="false">
      <c r="A11" s="0" t="n">
        <v>2</v>
      </c>
      <c r="B11" s="2" t="n">
        <v>45207</v>
      </c>
      <c r="C11" s="0" t="n">
        <v>2023</v>
      </c>
      <c r="D11" s="0" t="n">
        <v>10</v>
      </c>
      <c r="E11" s="3" t="s">
        <v>14</v>
      </c>
      <c r="F11" s="3" t="s">
        <v>79</v>
      </c>
      <c r="G11" s="3" t="s">
        <v>80</v>
      </c>
      <c r="H11" s="3" t="s">
        <v>80</v>
      </c>
      <c r="I11" s="4" t="n">
        <v>2250</v>
      </c>
    </row>
    <row r="12" customFormat="false" ht="15" hidden="false" customHeight="false" outlineLevel="0" collapsed="false">
      <c r="A12" s="0" t="n">
        <v>2</v>
      </c>
      <c r="B12" s="2" t="n">
        <v>45207</v>
      </c>
      <c r="C12" s="0" t="n">
        <v>2023</v>
      </c>
      <c r="D12" s="0" t="n">
        <v>10</v>
      </c>
      <c r="E12" s="3" t="s">
        <v>14</v>
      </c>
      <c r="F12" s="3" t="s">
        <v>79</v>
      </c>
      <c r="G12" s="3" t="s">
        <v>73</v>
      </c>
      <c r="H12" s="3" t="s">
        <v>74</v>
      </c>
      <c r="I12" s="4" t="n">
        <v>150</v>
      </c>
    </row>
    <row r="13" customFormat="false" ht="15" hidden="false" customHeight="false" outlineLevel="0" collapsed="false">
      <c r="A13" s="0" t="n">
        <v>2</v>
      </c>
      <c r="B13" s="2" t="n">
        <v>45207</v>
      </c>
      <c r="C13" s="0" t="n">
        <v>2023</v>
      </c>
      <c r="D13" s="0" t="n">
        <v>10</v>
      </c>
      <c r="E13" s="3" t="s">
        <v>14</v>
      </c>
      <c r="F13" s="3" t="s">
        <v>79</v>
      </c>
      <c r="G13" s="3" t="s">
        <v>83</v>
      </c>
      <c r="H13" s="3" t="s">
        <v>83</v>
      </c>
      <c r="I13" s="4" t="n">
        <v>600</v>
      </c>
    </row>
    <row r="14" customFormat="false" ht="15" hidden="false" customHeight="false" outlineLevel="0" collapsed="false">
      <c r="A14" s="0" t="n">
        <v>3</v>
      </c>
      <c r="B14" s="2" t="n">
        <v>45208</v>
      </c>
      <c r="C14" s="0" t="n">
        <v>2023</v>
      </c>
      <c r="D14" s="0" t="n">
        <v>10</v>
      </c>
      <c r="E14" s="3" t="s">
        <v>14</v>
      </c>
      <c r="F14" s="3" t="s">
        <v>84</v>
      </c>
      <c r="G14" s="3" t="s">
        <v>73</v>
      </c>
      <c r="H14" s="3" t="s">
        <v>74</v>
      </c>
      <c r="I14" s="4" t="n">
        <v>17500</v>
      </c>
    </row>
    <row r="15" customFormat="false" ht="15" hidden="false" customHeight="false" outlineLevel="0" collapsed="false">
      <c r="A15" s="0" t="n">
        <v>3</v>
      </c>
      <c r="B15" s="2" t="n">
        <v>45208</v>
      </c>
      <c r="C15" s="0" t="n">
        <v>2023</v>
      </c>
      <c r="D15" s="0" t="n">
        <v>10</v>
      </c>
      <c r="E15" s="3" t="s">
        <v>14</v>
      </c>
      <c r="F15" s="3" t="s">
        <v>84</v>
      </c>
      <c r="G15" s="3" t="s">
        <v>75</v>
      </c>
      <c r="H15" s="3" t="s">
        <v>75</v>
      </c>
      <c r="I15" s="4" t="n">
        <v>500</v>
      </c>
    </row>
    <row r="16" customFormat="false" ht="15" hidden="false" customHeight="false" outlineLevel="0" collapsed="false">
      <c r="A16" s="0" t="n">
        <v>3</v>
      </c>
      <c r="B16" s="2" t="n">
        <v>45208</v>
      </c>
      <c r="C16" s="0" t="n">
        <v>2023</v>
      </c>
      <c r="D16" s="0" t="n">
        <v>10</v>
      </c>
      <c r="E16" s="3" t="s">
        <v>14</v>
      </c>
      <c r="F16" s="3" t="s">
        <v>84</v>
      </c>
      <c r="G16" s="3" t="s">
        <v>76</v>
      </c>
      <c r="H16" s="3" t="s">
        <v>76</v>
      </c>
      <c r="I16" s="4" t="n">
        <v>13000</v>
      </c>
    </row>
    <row r="17" customFormat="false" ht="15" hidden="false" customHeight="false" outlineLevel="0" collapsed="false">
      <c r="A17" s="0" t="n">
        <v>3</v>
      </c>
      <c r="B17" s="2" t="n">
        <v>45208</v>
      </c>
      <c r="C17" s="0" t="n">
        <v>2023</v>
      </c>
      <c r="D17" s="0" t="n">
        <v>10</v>
      </c>
      <c r="E17" s="3" t="s">
        <v>14</v>
      </c>
      <c r="F17" s="3" t="s">
        <v>84</v>
      </c>
      <c r="G17" s="3" t="s">
        <v>77</v>
      </c>
      <c r="H17" s="3" t="s">
        <v>77</v>
      </c>
      <c r="I17" s="4" t="n">
        <v>6000</v>
      </c>
    </row>
    <row r="18" customFormat="false" ht="15" hidden="false" customHeight="false" outlineLevel="0" collapsed="false">
      <c r="A18" s="0" t="n">
        <v>3</v>
      </c>
      <c r="B18" s="2" t="n">
        <v>45208</v>
      </c>
      <c r="C18" s="0" t="n">
        <v>2023</v>
      </c>
      <c r="D18" s="0" t="n">
        <v>10</v>
      </c>
      <c r="E18" s="3" t="s">
        <v>14</v>
      </c>
      <c r="F18" s="3" t="s">
        <v>84</v>
      </c>
      <c r="G18" s="3" t="s">
        <v>78</v>
      </c>
      <c r="H18" s="3" t="s">
        <v>78</v>
      </c>
      <c r="I18" s="4" t="n">
        <v>3500</v>
      </c>
    </row>
    <row r="19" customFormat="false" ht="15" hidden="false" customHeight="false" outlineLevel="0" collapsed="false">
      <c r="A19" s="0" t="n">
        <v>4</v>
      </c>
      <c r="B19" s="2" t="n">
        <v>45209</v>
      </c>
      <c r="C19" s="0" t="n">
        <v>2023</v>
      </c>
      <c r="D19" s="0" t="n">
        <v>10</v>
      </c>
      <c r="E19" s="3" t="s">
        <v>14</v>
      </c>
      <c r="F19" s="3" t="s">
        <v>85</v>
      </c>
      <c r="G19" s="3" t="s">
        <v>80</v>
      </c>
      <c r="H19" s="3" t="s">
        <v>80</v>
      </c>
      <c r="I19" s="4" t="n">
        <v>22050</v>
      </c>
    </row>
    <row r="20" customFormat="false" ht="15" hidden="false" customHeight="false" outlineLevel="0" collapsed="false">
      <c r="A20" s="0" t="n">
        <v>4</v>
      </c>
      <c r="B20" s="2" t="n">
        <v>45209</v>
      </c>
      <c r="C20" s="0" t="n">
        <v>2023</v>
      </c>
      <c r="D20" s="0" t="n">
        <v>10</v>
      </c>
      <c r="E20" s="3" t="s">
        <v>14</v>
      </c>
      <c r="F20" s="3" t="s">
        <v>85</v>
      </c>
      <c r="G20" s="3" t="s">
        <v>80</v>
      </c>
      <c r="H20" s="3" t="s">
        <v>80</v>
      </c>
      <c r="I20" s="4" t="n">
        <v>800</v>
      </c>
    </row>
    <row r="21" customFormat="false" ht="15" hidden="false" customHeight="false" outlineLevel="0" collapsed="false">
      <c r="A21" s="0" t="n">
        <v>4</v>
      </c>
      <c r="B21" s="2" t="n">
        <v>45209</v>
      </c>
      <c r="C21" s="0" t="n">
        <v>2023</v>
      </c>
      <c r="D21" s="0" t="n">
        <v>10</v>
      </c>
      <c r="E21" s="3" t="s">
        <v>14</v>
      </c>
      <c r="F21" s="3" t="s">
        <v>85</v>
      </c>
      <c r="G21" s="3" t="s">
        <v>80</v>
      </c>
      <c r="H21" s="3" t="s">
        <v>80</v>
      </c>
      <c r="I21" s="4" t="n">
        <v>1500</v>
      </c>
    </row>
    <row r="22" customFormat="false" ht="15" hidden="false" customHeight="false" outlineLevel="0" collapsed="false">
      <c r="A22" s="0" t="n">
        <v>4</v>
      </c>
      <c r="B22" s="2" t="n">
        <v>45209</v>
      </c>
      <c r="C22" s="0" t="n">
        <v>2023</v>
      </c>
      <c r="D22" s="0" t="n">
        <v>10</v>
      </c>
      <c r="E22" s="3" t="s">
        <v>14</v>
      </c>
      <c r="F22" s="3" t="s">
        <v>85</v>
      </c>
      <c r="G22" s="3" t="s">
        <v>86</v>
      </c>
      <c r="H22" s="3" t="s">
        <v>86</v>
      </c>
      <c r="I22" s="4" t="n">
        <v>150</v>
      </c>
    </row>
    <row r="23" customFormat="false" ht="15" hidden="false" customHeight="false" outlineLevel="0" collapsed="false">
      <c r="A23" s="0" t="n">
        <v>4</v>
      </c>
      <c r="B23" s="2" t="n">
        <v>45209</v>
      </c>
      <c r="C23" s="0" t="n">
        <v>2023</v>
      </c>
      <c r="D23" s="0" t="n">
        <v>10</v>
      </c>
      <c r="E23" s="3" t="s">
        <v>14</v>
      </c>
      <c r="F23" s="3" t="s">
        <v>85</v>
      </c>
      <c r="G23" s="3" t="s">
        <v>73</v>
      </c>
      <c r="H23" s="3" t="s">
        <v>74</v>
      </c>
      <c r="I23" s="4" t="n">
        <v>100</v>
      </c>
    </row>
    <row r="24" customFormat="false" ht="15" hidden="false" customHeight="false" outlineLevel="0" collapsed="false">
      <c r="A24" s="0" t="n">
        <v>4</v>
      </c>
      <c r="B24" s="2" t="n">
        <v>45209</v>
      </c>
      <c r="C24" s="0" t="n">
        <v>2023</v>
      </c>
      <c r="D24" s="0" t="n">
        <v>10</v>
      </c>
      <c r="E24" s="3" t="s">
        <v>14</v>
      </c>
      <c r="F24" s="3" t="s">
        <v>85</v>
      </c>
      <c r="G24" s="3" t="s">
        <v>87</v>
      </c>
      <c r="H24" s="3" t="s">
        <v>88</v>
      </c>
      <c r="I24" s="4" t="n">
        <v>5000</v>
      </c>
    </row>
    <row r="25" customFormat="false" ht="15" hidden="false" customHeight="false" outlineLevel="0" collapsed="false">
      <c r="A25" s="0" t="n">
        <v>4</v>
      </c>
      <c r="B25" s="2" t="n">
        <v>45209</v>
      </c>
      <c r="C25" s="0" t="n">
        <v>2023</v>
      </c>
      <c r="D25" s="0" t="n">
        <v>10</v>
      </c>
      <c r="E25" s="3" t="s">
        <v>14</v>
      </c>
      <c r="F25" s="3" t="s">
        <v>85</v>
      </c>
      <c r="G25" s="3" t="s">
        <v>89</v>
      </c>
      <c r="H25" s="3" t="s">
        <v>90</v>
      </c>
      <c r="I25" s="4" t="n">
        <v>8000</v>
      </c>
    </row>
    <row r="26" customFormat="false" ht="15" hidden="false" customHeight="false" outlineLevel="0" collapsed="false">
      <c r="A26" s="0" t="n">
        <v>4</v>
      </c>
      <c r="B26" s="2" t="n">
        <v>45209</v>
      </c>
      <c r="C26" s="0" t="n">
        <v>2023</v>
      </c>
      <c r="D26" s="0" t="n">
        <v>10</v>
      </c>
      <c r="E26" s="3" t="s">
        <v>14</v>
      </c>
      <c r="F26" s="3" t="s">
        <v>85</v>
      </c>
      <c r="G26" s="3" t="s">
        <v>77</v>
      </c>
      <c r="H26" s="3" t="s">
        <v>77</v>
      </c>
      <c r="I26" s="4" t="n">
        <v>12300</v>
      </c>
    </row>
    <row r="27" customFormat="false" ht="15" hidden="false" customHeight="false" outlineLevel="0" collapsed="false">
      <c r="A27" s="0" t="n">
        <v>5</v>
      </c>
      <c r="B27" s="2" t="n">
        <v>45210</v>
      </c>
      <c r="C27" s="0" t="n">
        <v>2023</v>
      </c>
      <c r="D27" s="0" t="n">
        <v>10</v>
      </c>
      <c r="E27" s="3" t="s">
        <v>14</v>
      </c>
      <c r="F27" s="3" t="s">
        <v>91</v>
      </c>
      <c r="G27" s="3" t="s">
        <v>80</v>
      </c>
      <c r="H27" s="3" t="s">
        <v>80</v>
      </c>
      <c r="I27" s="4" t="n">
        <v>9500</v>
      </c>
    </row>
    <row r="28" customFormat="false" ht="15" hidden="false" customHeight="false" outlineLevel="0" collapsed="false">
      <c r="A28" s="0" t="n">
        <v>5</v>
      </c>
      <c r="B28" s="2" t="n">
        <v>45210</v>
      </c>
      <c r="C28" s="0" t="n">
        <v>2023</v>
      </c>
      <c r="D28" s="0" t="n">
        <v>10</v>
      </c>
      <c r="E28" s="3" t="s">
        <v>14</v>
      </c>
      <c r="F28" s="3" t="s">
        <v>91</v>
      </c>
      <c r="G28" s="3" t="s">
        <v>80</v>
      </c>
      <c r="H28" s="3" t="s">
        <v>80</v>
      </c>
      <c r="I28" s="4" t="n">
        <v>9100</v>
      </c>
    </row>
    <row r="29" customFormat="false" ht="15" hidden="false" customHeight="false" outlineLevel="0" collapsed="false">
      <c r="A29" s="0" t="n">
        <v>5</v>
      </c>
      <c r="B29" s="2" t="n">
        <v>45210</v>
      </c>
      <c r="C29" s="0" t="n">
        <v>2023</v>
      </c>
      <c r="D29" s="0" t="n">
        <v>10</v>
      </c>
      <c r="E29" s="3" t="s">
        <v>14</v>
      </c>
      <c r="F29" s="3" t="s">
        <v>91</v>
      </c>
      <c r="G29" s="3" t="s">
        <v>86</v>
      </c>
      <c r="H29" s="3" t="s">
        <v>86</v>
      </c>
      <c r="I29" s="4" t="n">
        <v>1400</v>
      </c>
    </row>
    <row r="30" customFormat="false" ht="15" hidden="false" customHeight="false" outlineLevel="0" collapsed="false">
      <c r="A30" s="0" t="n">
        <v>6</v>
      </c>
      <c r="B30" s="2" t="n">
        <v>45211</v>
      </c>
      <c r="C30" s="0" t="n">
        <v>2023</v>
      </c>
      <c r="D30" s="0" t="n">
        <v>10</v>
      </c>
      <c r="E30" s="3" t="s">
        <v>14</v>
      </c>
      <c r="F30" s="3" t="s">
        <v>92</v>
      </c>
      <c r="G30" s="3" t="s">
        <v>80</v>
      </c>
      <c r="H30" s="3" t="s">
        <v>80</v>
      </c>
      <c r="I30" s="4" t="n">
        <v>1000</v>
      </c>
    </row>
    <row r="31" customFormat="false" ht="15" hidden="false" customHeight="false" outlineLevel="0" collapsed="false">
      <c r="A31" s="0" t="n">
        <v>6</v>
      </c>
      <c r="B31" s="2" t="n">
        <v>45211</v>
      </c>
      <c r="C31" s="0" t="n">
        <v>2023</v>
      </c>
      <c r="D31" s="0" t="n">
        <v>10</v>
      </c>
      <c r="E31" s="3" t="s">
        <v>14</v>
      </c>
      <c r="F31" s="3" t="s">
        <v>92</v>
      </c>
      <c r="G31" s="3" t="s">
        <v>80</v>
      </c>
      <c r="H31" s="3" t="s">
        <v>80</v>
      </c>
      <c r="I31" s="4" t="n">
        <v>1500</v>
      </c>
    </row>
    <row r="32" customFormat="false" ht="15" hidden="false" customHeight="false" outlineLevel="0" collapsed="false">
      <c r="A32" s="0" t="n">
        <v>6</v>
      </c>
      <c r="B32" s="2" t="n">
        <v>45211</v>
      </c>
      <c r="C32" s="0" t="n">
        <v>2023</v>
      </c>
      <c r="D32" s="0" t="n">
        <v>10</v>
      </c>
      <c r="E32" s="3" t="s">
        <v>14</v>
      </c>
      <c r="F32" s="3" t="s">
        <v>92</v>
      </c>
      <c r="G32" s="3" t="s">
        <v>80</v>
      </c>
      <c r="H32" s="3" t="s">
        <v>80</v>
      </c>
      <c r="I32" s="4" t="n">
        <v>4800</v>
      </c>
    </row>
    <row r="33" customFormat="false" ht="15" hidden="false" customHeight="false" outlineLevel="0" collapsed="false">
      <c r="A33" s="0" t="n">
        <v>6</v>
      </c>
      <c r="B33" s="2" t="n">
        <v>45211</v>
      </c>
      <c r="C33" s="0" t="n">
        <v>2023</v>
      </c>
      <c r="D33" s="0" t="n">
        <v>10</v>
      </c>
      <c r="E33" s="3" t="s">
        <v>14</v>
      </c>
      <c r="F33" s="3" t="s">
        <v>92</v>
      </c>
      <c r="G33" s="3" t="s">
        <v>80</v>
      </c>
      <c r="H33" s="3" t="s">
        <v>80</v>
      </c>
      <c r="I33" s="4" t="n">
        <v>7500</v>
      </c>
    </row>
    <row r="34" customFormat="false" ht="15" hidden="false" customHeight="false" outlineLevel="0" collapsed="false">
      <c r="A34" s="0" t="n">
        <v>6</v>
      </c>
      <c r="B34" s="2" t="n">
        <v>45211</v>
      </c>
      <c r="C34" s="0" t="n">
        <v>2023</v>
      </c>
      <c r="D34" s="0" t="n">
        <v>10</v>
      </c>
      <c r="E34" s="3" t="s">
        <v>14</v>
      </c>
      <c r="F34" s="3" t="s">
        <v>92</v>
      </c>
      <c r="G34" s="3" t="s">
        <v>80</v>
      </c>
      <c r="H34" s="3" t="s">
        <v>80</v>
      </c>
      <c r="I34" s="4" t="n">
        <v>6000</v>
      </c>
    </row>
    <row r="35" customFormat="false" ht="15" hidden="false" customHeight="false" outlineLevel="0" collapsed="false">
      <c r="A35" s="0" t="n">
        <v>6</v>
      </c>
      <c r="B35" s="2" t="n">
        <v>45211</v>
      </c>
      <c r="C35" s="0" t="n">
        <v>2023</v>
      </c>
      <c r="D35" s="0" t="n">
        <v>10</v>
      </c>
      <c r="E35" s="3" t="s">
        <v>14</v>
      </c>
      <c r="F35" s="3" t="s">
        <v>92</v>
      </c>
      <c r="G35" s="3" t="s">
        <v>80</v>
      </c>
      <c r="H35" s="3" t="s">
        <v>80</v>
      </c>
      <c r="I35" s="4" t="n">
        <v>7500</v>
      </c>
    </row>
    <row r="36" customFormat="false" ht="15" hidden="false" customHeight="false" outlineLevel="0" collapsed="false">
      <c r="A36" s="0" t="n">
        <v>6</v>
      </c>
      <c r="B36" s="2" t="n">
        <v>45211</v>
      </c>
      <c r="C36" s="0" t="n">
        <v>2023</v>
      </c>
      <c r="D36" s="0" t="n">
        <v>10</v>
      </c>
      <c r="E36" s="3" t="s">
        <v>14</v>
      </c>
      <c r="F36" s="3" t="s">
        <v>92</v>
      </c>
      <c r="G36" s="3" t="s">
        <v>86</v>
      </c>
      <c r="H36" s="3" t="s">
        <v>86</v>
      </c>
      <c r="I36" s="4" t="n">
        <v>300</v>
      </c>
    </row>
    <row r="37" customFormat="false" ht="15" hidden="false" customHeight="false" outlineLevel="0" collapsed="false">
      <c r="A37" s="0" t="n">
        <v>6</v>
      </c>
      <c r="B37" s="2" t="n">
        <v>45211</v>
      </c>
      <c r="C37" s="0" t="n">
        <v>2023</v>
      </c>
      <c r="D37" s="0" t="n">
        <v>10</v>
      </c>
      <c r="E37" s="3" t="s">
        <v>14</v>
      </c>
      <c r="F37" s="3" t="s">
        <v>92</v>
      </c>
      <c r="G37" s="3" t="s">
        <v>82</v>
      </c>
      <c r="H37" s="3" t="s">
        <v>82</v>
      </c>
      <c r="I37" s="4" t="n">
        <v>200</v>
      </c>
    </row>
    <row r="38" customFormat="false" ht="15" hidden="false" customHeight="false" outlineLevel="0" collapsed="false">
      <c r="A38" s="0" t="n">
        <v>6</v>
      </c>
      <c r="B38" s="2" t="n">
        <v>45211</v>
      </c>
      <c r="C38" s="0" t="n">
        <v>2023</v>
      </c>
      <c r="D38" s="0" t="n">
        <v>10</v>
      </c>
      <c r="E38" s="3" t="s">
        <v>14</v>
      </c>
      <c r="F38" s="3" t="s">
        <v>92</v>
      </c>
      <c r="G38" s="3" t="s">
        <v>80</v>
      </c>
      <c r="H38" s="3" t="s">
        <v>80</v>
      </c>
      <c r="I38" s="4" t="n">
        <v>4850</v>
      </c>
    </row>
    <row r="39" customFormat="false" ht="15" hidden="false" customHeight="false" outlineLevel="0" collapsed="false">
      <c r="A39" s="0" t="n">
        <v>6</v>
      </c>
      <c r="B39" s="2" t="n">
        <v>45211</v>
      </c>
      <c r="C39" s="0" t="n">
        <v>2023</v>
      </c>
      <c r="D39" s="0" t="n">
        <v>10</v>
      </c>
      <c r="E39" s="3" t="s">
        <v>14</v>
      </c>
      <c r="F39" s="3" t="s">
        <v>92</v>
      </c>
      <c r="G39" s="3" t="s">
        <v>80</v>
      </c>
      <c r="H39" s="3" t="s">
        <v>80</v>
      </c>
      <c r="I39" s="4" t="n">
        <v>4000</v>
      </c>
    </row>
    <row r="40" customFormat="false" ht="15" hidden="false" customHeight="false" outlineLevel="0" collapsed="false">
      <c r="A40" s="0" t="n">
        <v>7</v>
      </c>
      <c r="B40" s="2" t="n">
        <v>45212</v>
      </c>
      <c r="C40" s="0" t="n">
        <v>2023</v>
      </c>
      <c r="D40" s="0" t="n">
        <v>10</v>
      </c>
      <c r="E40" s="3" t="s">
        <v>14</v>
      </c>
      <c r="F40" s="3" t="s">
        <v>93</v>
      </c>
      <c r="G40" s="3" t="s">
        <v>80</v>
      </c>
      <c r="H40" s="3" t="s">
        <v>80</v>
      </c>
      <c r="I40" s="4" t="n">
        <v>12100</v>
      </c>
    </row>
    <row r="41" customFormat="false" ht="15" hidden="false" customHeight="false" outlineLevel="0" collapsed="false">
      <c r="A41" s="0" t="n">
        <v>7</v>
      </c>
      <c r="B41" s="2" t="n">
        <v>45212</v>
      </c>
      <c r="C41" s="0" t="n">
        <v>2023</v>
      </c>
      <c r="D41" s="0" t="n">
        <v>10</v>
      </c>
      <c r="E41" s="3" t="s">
        <v>14</v>
      </c>
      <c r="F41" s="3" t="s">
        <v>93</v>
      </c>
      <c r="G41" s="3" t="s">
        <v>80</v>
      </c>
      <c r="H41" s="3" t="s">
        <v>80</v>
      </c>
      <c r="I41" s="4" t="n">
        <v>6400</v>
      </c>
    </row>
    <row r="42" customFormat="false" ht="15" hidden="false" customHeight="false" outlineLevel="0" collapsed="false">
      <c r="A42" s="0" t="n">
        <v>8</v>
      </c>
      <c r="B42" s="2" t="n">
        <v>45213</v>
      </c>
      <c r="C42" s="0" t="n">
        <v>2023</v>
      </c>
      <c r="D42" s="0" t="n">
        <v>10</v>
      </c>
      <c r="E42" s="3" t="s">
        <v>14</v>
      </c>
      <c r="F42" s="3" t="s">
        <v>32</v>
      </c>
      <c r="G42" s="3" t="s">
        <v>80</v>
      </c>
      <c r="H42" s="3" t="s">
        <v>80</v>
      </c>
      <c r="I42" s="4" t="n">
        <v>6400</v>
      </c>
    </row>
    <row r="43" customFormat="false" ht="15" hidden="false" customHeight="false" outlineLevel="0" collapsed="false">
      <c r="A43" s="0" t="n">
        <v>9</v>
      </c>
      <c r="B43" s="2" t="n">
        <v>45220</v>
      </c>
      <c r="C43" s="0" t="n">
        <v>2023</v>
      </c>
      <c r="D43" s="0" t="n">
        <v>10</v>
      </c>
      <c r="E43" s="3" t="s">
        <v>14</v>
      </c>
      <c r="F43" s="3" t="s">
        <v>94</v>
      </c>
      <c r="G43" s="3" t="s">
        <v>87</v>
      </c>
      <c r="H43" s="3" t="s">
        <v>88</v>
      </c>
      <c r="I43" s="4" t="n">
        <v>5000</v>
      </c>
    </row>
    <row r="44" customFormat="false" ht="15" hidden="false" customHeight="false" outlineLevel="0" collapsed="false">
      <c r="A44" s="0" t="n">
        <v>10</v>
      </c>
      <c r="B44" s="2" t="n">
        <v>45223</v>
      </c>
      <c r="C44" s="0" t="n">
        <v>2023</v>
      </c>
      <c r="D44" s="0" t="n">
        <v>10</v>
      </c>
      <c r="E44" s="3" t="s">
        <v>14</v>
      </c>
      <c r="F44" s="3" t="s">
        <v>95</v>
      </c>
      <c r="G44" s="3" t="s">
        <v>80</v>
      </c>
      <c r="H44" s="3" t="s">
        <v>80</v>
      </c>
      <c r="I44" s="4" t="n">
        <v>500</v>
      </c>
    </row>
    <row r="45" customFormat="false" ht="15" hidden="false" customHeight="false" outlineLevel="0" collapsed="false">
      <c r="A45" s="0" t="n">
        <v>10</v>
      </c>
      <c r="B45" s="2" t="n">
        <v>45223</v>
      </c>
      <c r="C45" s="0" t="n">
        <v>2023</v>
      </c>
      <c r="D45" s="0" t="n">
        <v>10</v>
      </c>
      <c r="E45" s="3" t="s">
        <v>14</v>
      </c>
      <c r="F45" s="3" t="s">
        <v>95</v>
      </c>
      <c r="G45" s="3" t="s">
        <v>87</v>
      </c>
      <c r="H45" s="3" t="s">
        <v>88</v>
      </c>
      <c r="I45" s="4" t="n">
        <v>2000</v>
      </c>
    </row>
    <row r="46" customFormat="false" ht="15" hidden="false" customHeight="false" outlineLevel="0" collapsed="false">
      <c r="A46" s="0" t="n">
        <v>11</v>
      </c>
      <c r="B46" s="2" t="n">
        <v>45226</v>
      </c>
      <c r="C46" s="0" t="n">
        <v>2023</v>
      </c>
      <c r="D46" s="0" t="n">
        <v>10</v>
      </c>
      <c r="E46" s="3" t="s">
        <v>14</v>
      </c>
      <c r="F46" s="3" t="s">
        <v>96</v>
      </c>
      <c r="G46" s="3" t="s">
        <v>77</v>
      </c>
      <c r="H46" s="3" t="s">
        <v>77</v>
      </c>
      <c r="I46" s="4" t="n">
        <v>13000</v>
      </c>
    </row>
    <row r="47" customFormat="false" ht="15" hidden="false" customHeight="false" outlineLevel="0" collapsed="false">
      <c r="A47" s="0" t="n">
        <v>11</v>
      </c>
      <c r="B47" s="2" t="n">
        <v>45226</v>
      </c>
      <c r="C47" s="0" t="n">
        <v>2023</v>
      </c>
      <c r="D47" s="0" t="n">
        <v>10</v>
      </c>
      <c r="E47" s="3" t="s">
        <v>14</v>
      </c>
      <c r="F47" s="3" t="s">
        <v>96</v>
      </c>
      <c r="G47" s="3" t="s">
        <v>87</v>
      </c>
      <c r="H47" s="3" t="s">
        <v>88</v>
      </c>
      <c r="I47" s="4" t="n">
        <v>3000</v>
      </c>
    </row>
    <row r="48" customFormat="false" ht="15" hidden="false" customHeight="false" outlineLevel="0" collapsed="false">
      <c r="A48" s="0" t="n">
        <v>11</v>
      </c>
      <c r="B48" s="2" t="n">
        <v>45226</v>
      </c>
      <c r="C48" s="0" t="n">
        <v>2023</v>
      </c>
      <c r="D48" s="0" t="n">
        <v>10</v>
      </c>
      <c r="E48" s="3" t="s">
        <v>14</v>
      </c>
      <c r="F48" s="3" t="s">
        <v>96</v>
      </c>
      <c r="G48" s="3" t="s">
        <v>80</v>
      </c>
      <c r="H48" s="3" t="s">
        <v>80</v>
      </c>
      <c r="I48" s="4" t="n">
        <v>1000</v>
      </c>
    </row>
    <row r="49" customFormat="false" ht="15" hidden="false" customHeight="false" outlineLevel="0" collapsed="false">
      <c r="A49" s="0" t="n">
        <v>11</v>
      </c>
      <c r="B49" s="2" t="n">
        <v>45226</v>
      </c>
      <c r="C49" s="0" t="n">
        <v>2023</v>
      </c>
      <c r="D49" s="0" t="n">
        <v>10</v>
      </c>
      <c r="E49" s="3" t="s">
        <v>14</v>
      </c>
      <c r="F49" s="3" t="s">
        <v>96</v>
      </c>
      <c r="G49" s="3" t="s">
        <v>78</v>
      </c>
      <c r="H49" s="3" t="s">
        <v>78</v>
      </c>
      <c r="I49" s="4" t="n">
        <v>3500</v>
      </c>
    </row>
    <row r="50" customFormat="false" ht="15" hidden="false" customHeight="false" outlineLevel="0" collapsed="false">
      <c r="A50" s="0" t="n">
        <v>12</v>
      </c>
      <c r="B50" s="2" t="n">
        <v>45227</v>
      </c>
      <c r="C50" s="0" t="n">
        <v>2023</v>
      </c>
      <c r="D50" s="0" t="n">
        <v>10</v>
      </c>
      <c r="E50" s="3" t="s">
        <v>14</v>
      </c>
      <c r="F50" s="3" t="s">
        <v>97</v>
      </c>
      <c r="G50" s="3" t="s">
        <v>87</v>
      </c>
      <c r="H50" s="3" t="s">
        <v>88</v>
      </c>
      <c r="I50" s="4" t="n">
        <v>21300</v>
      </c>
    </row>
    <row r="51" customFormat="false" ht="15" hidden="false" customHeight="false" outlineLevel="0" collapsed="false">
      <c r="A51" s="0" t="n">
        <v>13</v>
      </c>
      <c r="B51" s="2" t="n">
        <v>45864</v>
      </c>
      <c r="C51" s="0" t="n">
        <v>2025</v>
      </c>
      <c r="D51" s="0" t="n">
        <v>7</v>
      </c>
      <c r="E51" s="3" t="s">
        <v>43</v>
      </c>
      <c r="F51" s="3" t="s">
        <v>98</v>
      </c>
      <c r="G51" s="3" t="s">
        <v>99</v>
      </c>
      <c r="H51" s="3" t="s">
        <v>77</v>
      </c>
      <c r="I51" s="4" t="n">
        <v>12000</v>
      </c>
    </row>
    <row r="52" customFormat="false" ht="15" hidden="false" customHeight="false" outlineLevel="0" collapsed="false">
      <c r="A52" s="0" t="n">
        <v>13</v>
      </c>
      <c r="B52" s="2" t="n">
        <v>45864</v>
      </c>
      <c r="C52" s="0" t="n">
        <v>2025</v>
      </c>
      <c r="D52" s="0" t="n">
        <v>7</v>
      </c>
      <c r="E52" s="3" t="s">
        <v>43</v>
      </c>
      <c r="F52" s="3" t="s">
        <v>98</v>
      </c>
      <c r="G52" s="3" t="s">
        <v>100</v>
      </c>
      <c r="H52" s="3" t="s">
        <v>100</v>
      </c>
      <c r="I52" s="4" t="n">
        <v>5000</v>
      </c>
    </row>
    <row r="53" customFormat="false" ht="15" hidden="false" customHeight="false" outlineLevel="0" collapsed="false">
      <c r="A53" s="0" t="n">
        <v>13</v>
      </c>
      <c r="B53" s="2" t="n">
        <v>45864</v>
      </c>
      <c r="C53" s="0" t="n">
        <v>2025</v>
      </c>
      <c r="D53" s="0" t="n">
        <v>7</v>
      </c>
      <c r="E53" s="3" t="s">
        <v>43</v>
      </c>
      <c r="F53" s="3" t="s">
        <v>98</v>
      </c>
      <c r="G53" s="3" t="s">
        <v>101</v>
      </c>
      <c r="H53" s="3" t="s">
        <v>82</v>
      </c>
      <c r="I53" s="4" t="n">
        <v>2100</v>
      </c>
    </row>
    <row r="54" customFormat="false" ht="15" hidden="false" customHeight="false" outlineLevel="0" collapsed="false">
      <c r="A54" s="0" t="n">
        <v>14</v>
      </c>
      <c r="B54" s="2" t="n">
        <v>45884</v>
      </c>
      <c r="C54" s="0" t="n">
        <v>2025</v>
      </c>
      <c r="D54" s="0" t="n">
        <v>8</v>
      </c>
      <c r="E54" s="3" t="s">
        <v>43</v>
      </c>
      <c r="F54" s="3" t="s">
        <v>46</v>
      </c>
      <c r="G54" s="3" t="s">
        <v>80</v>
      </c>
      <c r="H54" s="3" t="s">
        <v>80</v>
      </c>
      <c r="I54" s="4" t="n">
        <v>12600</v>
      </c>
    </row>
    <row r="55" customFormat="false" ht="15" hidden="false" customHeight="false" outlineLevel="0" collapsed="false">
      <c r="A55" s="0" t="n">
        <v>14</v>
      </c>
      <c r="B55" s="2" t="n">
        <v>45884</v>
      </c>
      <c r="C55" s="0" t="n">
        <v>2025</v>
      </c>
      <c r="D55" s="0" t="n">
        <v>8</v>
      </c>
      <c r="E55" s="3" t="s">
        <v>43</v>
      </c>
      <c r="F55" s="3" t="s">
        <v>46</v>
      </c>
      <c r="G55" s="3" t="s">
        <v>102</v>
      </c>
      <c r="H55" s="3" t="s">
        <v>103</v>
      </c>
      <c r="I55" s="4" t="n">
        <v>8200</v>
      </c>
    </row>
    <row r="56" customFormat="false" ht="15" hidden="false" customHeight="false" outlineLevel="0" collapsed="false">
      <c r="A56" s="0" t="n">
        <v>14</v>
      </c>
      <c r="B56" s="2" t="n">
        <v>45884</v>
      </c>
      <c r="C56" s="0" t="n">
        <v>2025</v>
      </c>
      <c r="D56" s="0" t="n">
        <v>8</v>
      </c>
      <c r="E56" s="3" t="s">
        <v>43</v>
      </c>
      <c r="F56" s="3" t="s">
        <v>46</v>
      </c>
      <c r="G56" s="3" t="s">
        <v>104</v>
      </c>
      <c r="H56" s="3" t="s">
        <v>86</v>
      </c>
      <c r="I56" s="4" t="n">
        <v>2000</v>
      </c>
    </row>
    <row r="57" customFormat="false" ht="15" hidden="false" customHeight="false" outlineLevel="0" collapsed="false">
      <c r="A57" s="0" t="n">
        <v>14</v>
      </c>
      <c r="B57" s="2" t="n">
        <v>45884</v>
      </c>
      <c r="C57" s="0" t="n">
        <v>2025</v>
      </c>
      <c r="D57" s="0" t="n">
        <v>8</v>
      </c>
      <c r="E57" s="3" t="s">
        <v>43</v>
      </c>
      <c r="F57" s="3" t="s">
        <v>46</v>
      </c>
      <c r="G57" s="3" t="s">
        <v>101</v>
      </c>
      <c r="H57" s="3" t="s">
        <v>82</v>
      </c>
      <c r="I57" s="4" t="n">
        <v>1400</v>
      </c>
    </row>
    <row r="58" customFormat="false" ht="15" hidden="false" customHeight="false" outlineLevel="0" collapsed="false">
      <c r="A58" s="0" t="n">
        <v>15</v>
      </c>
      <c r="B58" s="2" t="n">
        <v>45948</v>
      </c>
      <c r="C58" s="0" t="n">
        <v>2025</v>
      </c>
      <c r="D58" s="0" t="n">
        <v>10</v>
      </c>
      <c r="E58" s="3" t="s">
        <v>43</v>
      </c>
      <c r="F58" s="3" t="s">
        <v>48</v>
      </c>
      <c r="G58" s="3" t="s">
        <v>105</v>
      </c>
      <c r="H58" s="3" t="s">
        <v>83</v>
      </c>
      <c r="I58" s="4" t="n">
        <v>5000</v>
      </c>
    </row>
    <row r="59" customFormat="false" ht="15" hidden="false" customHeight="false" outlineLevel="0" collapsed="false">
      <c r="A59" s="0" t="n">
        <v>15</v>
      </c>
      <c r="B59" s="2" t="n">
        <v>45948</v>
      </c>
      <c r="C59" s="0" t="n">
        <v>2025</v>
      </c>
      <c r="D59" s="0" t="n">
        <v>10</v>
      </c>
      <c r="E59" s="3" t="s">
        <v>43</v>
      </c>
      <c r="F59" s="3" t="s">
        <v>48</v>
      </c>
      <c r="G59" s="3" t="s">
        <v>102</v>
      </c>
      <c r="H59" s="3" t="s">
        <v>103</v>
      </c>
      <c r="I59" s="4" t="n">
        <v>7200</v>
      </c>
    </row>
    <row r="60" customFormat="false" ht="15" hidden="false" customHeight="false" outlineLevel="0" collapsed="false">
      <c r="A60" s="0" t="n">
        <v>16</v>
      </c>
      <c r="B60" s="2" t="n">
        <v>45966</v>
      </c>
      <c r="C60" s="0" t="n">
        <v>2025</v>
      </c>
      <c r="D60" s="0" t="n">
        <v>11</v>
      </c>
      <c r="E60" s="3" t="s">
        <v>43</v>
      </c>
      <c r="F60" s="3" t="s">
        <v>50</v>
      </c>
      <c r="G60" s="3" t="s">
        <v>99</v>
      </c>
      <c r="H60" s="3" t="s">
        <v>77</v>
      </c>
      <c r="I60" s="4" t="n">
        <v>8000</v>
      </c>
    </row>
    <row r="61" customFormat="false" ht="15" hidden="false" customHeight="false" outlineLevel="0" collapsed="false">
      <c r="A61" s="0" t="n">
        <v>17</v>
      </c>
      <c r="B61" s="2" t="n">
        <v>45982</v>
      </c>
      <c r="C61" s="0" t="n">
        <v>2025</v>
      </c>
      <c r="D61" s="0" t="n">
        <v>11</v>
      </c>
      <c r="E61" s="3" t="s">
        <v>43</v>
      </c>
      <c r="F61" s="3" t="s">
        <v>106</v>
      </c>
      <c r="G61" s="3" t="s">
        <v>107</v>
      </c>
      <c r="H61" s="3" t="s">
        <v>80</v>
      </c>
      <c r="I61" s="4" t="n">
        <v>25000</v>
      </c>
    </row>
    <row r="62" customFormat="false" ht="15" hidden="false" customHeight="false" outlineLevel="0" collapsed="false">
      <c r="A62" s="0" t="n">
        <v>17</v>
      </c>
      <c r="B62" s="2" t="n">
        <v>45982</v>
      </c>
      <c r="C62" s="0" t="n">
        <v>2025</v>
      </c>
      <c r="D62" s="0" t="n">
        <v>11</v>
      </c>
      <c r="E62" s="3" t="s">
        <v>43</v>
      </c>
      <c r="F62" s="3" t="s">
        <v>106</v>
      </c>
      <c r="G62" s="3" t="s">
        <v>100</v>
      </c>
      <c r="H62" s="3" t="s">
        <v>100</v>
      </c>
      <c r="I62" s="4" t="n">
        <v>5000</v>
      </c>
    </row>
    <row r="63" customFormat="false" ht="15" hidden="false" customHeight="false" outlineLevel="0" collapsed="false">
      <c r="A63" s="0" t="n">
        <v>18</v>
      </c>
      <c r="B63" s="2" t="n">
        <v>45996</v>
      </c>
      <c r="C63" s="0" t="n">
        <v>2025</v>
      </c>
      <c r="D63" s="0" t="n">
        <v>12</v>
      </c>
      <c r="E63" s="3" t="s">
        <v>43</v>
      </c>
      <c r="F63" s="3" t="s">
        <v>54</v>
      </c>
      <c r="G63" s="3" t="s">
        <v>99</v>
      </c>
      <c r="H63" s="3" t="s">
        <v>77</v>
      </c>
      <c r="I63" s="4" t="n">
        <v>12000</v>
      </c>
    </row>
    <row r="64" customFormat="false" ht="15" hidden="false" customHeight="false" outlineLevel="0" collapsed="false">
      <c r="A64" s="0" t="n">
        <v>18</v>
      </c>
      <c r="B64" s="2" t="n">
        <v>45996</v>
      </c>
      <c r="C64" s="0" t="n">
        <v>2025</v>
      </c>
      <c r="D64" s="0" t="n">
        <v>12</v>
      </c>
      <c r="E64" s="3" t="s">
        <v>43</v>
      </c>
      <c r="F64" s="3" t="s">
        <v>54</v>
      </c>
      <c r="G64" s="3" t="s">
        <v>108</v>
      </c>
      <c r="H64" s="3" t="s">
        <v>82</v>
      </c>
      <c r="I64" s="4" t="n">
        <v>5000</v>
      </c>
    </row>
    <row r="65" customFormat="false" ht="15" hidden="false" customHeight="false" outlineLevel="0" collapsed="false">
      <c r="A65" s="0" t="n">
        <v>19</v>
      </c>
      <c r="B65" s="2" t="n">
        <v>46000</v>
      </c>
      <c r="C65" s="0" t="n">
        <v>2025</v>
      </c>
      <c r="D65" s="0" t="n">
        <v>12</v>
      </c>
      <c r="E65" s="3" t="s">
        <v>43</v>
      </c>
      <c r="F65" s="3" t="s">
        <v>56</v>
      </c>
      <c r="G65" s="3" t="s">
        <v>99</v>
      </c>
      <c r="H65" s="3" t="s">
        <v>77</v>
      </c>
      <c r="I65" s="4" t="n">
        <v>12000</v>
      </c>
    </row>
    <row r="66" customFormat="false" ht="15" hidden="false" customHeight="false" outlineLevel="0" collapsed="false">
      <c r="A66" s="0" t="n">
        <v>20</v>
      </c>
      <c r="B66" s="2" t="n">
        <v>46004</v>
      </c>
      <c r="C66" s="0" t="n">
        <v>2025</v>
      </c>
      <c r="D66" s="0" t="n">
        <v>12</v>
      </c>
      <c r="E66" s="3" t="s">
        <v>43</v>
      </c>
      <c r="F66" s="3" t="s">
        <v>58</v>
      </c>
      <c r="G66" s="3" t="s">
        <v>99</v>
      </c>
      <c r="H66" s="3" t="s">
        <v>77</v>
      </c>
      <c r="I66" s="4" t="n">
        <v>5000</v>
      </c>
    </row>
    <row r="67" customFormat="false" ht="15" hidden="false" customHeight="false" outlineLevel="0" collapsed="false">
      <c r="A67" s="0" t="n">
        <v>20</v>
      </c>
      <c r="B67" s="2" t="n">
        <v>46004</v>
      </c>
      <c r="C67" s="0" t="n">
        <v>2025</v>
      </c>
      <c r="D67" s="0" t="n">
        <v>12</v>
      </c>
      <c r="E67" s="3" t="s">
        <v>43</v>
      </c>
      <c r="F67" s="3" t="s">
        <v>58</v>
      </c>
      <c r="G67" s="3" t="s">
        <v>109</v>
      </c>
      <c r="H67" s="3" t="s">
        <v>83</v>
      </c>
      <c r="I67" s="4" t="n">
        <v>55000</v>
      </c>
    </row>
    <row r="68" customFormat="false" ht="15" hidden="false" customHeight="false" outlineLevel="0" collapsed="false">
      <c r="A68" s="0" t="n">
        <v>21</v>
      </c>
      <c r="B68" s="2" t="n">
        <v>46008</v>
      </c>
      <c r="C68" s="0" t="n">
        <v>2025</v>
      </c>
      <c r="D68" s="0" t="n">
        <v>12</v>
      </c>
      <c r="E68" s="3" t="s">
        <v>43</v>
      </c>
      <c r="F68" s="3" t="s">
        <v>60</v>
      </c>
      <c r="G68" s="3" t="s">
        <v>110</v>
      </c>
      <c r="H68" s="3" t="s">
        <v>82</v>
      </c>
      <c r="I68" s="4" t="n">
        <v>8600</v>
      </c>
    </row>
    <row r="69" customFormat="false" ht="15" hidden="false" customHeight="false" outlineLevel="0" collapsed="false">
      <c r="A69" s="0" t="n">
        <v>21</v>
      </c>
      <c r="B69" s="2" t="n">
        <v>46008</v>
      </c>
      <c r="C69" s="0" t="n">
        <v>2025</v>
      </c>
      <c r="D69" s="0" t="n">
        <v>12</v>
      </c>
      <c r="E69" s="3" t="s">
        <v>43</v>
      </c>
      <c r="F69" s="3" t="s">
        <v>60</v>
      </c>
      <c r="G69" s="3" t="s">
        <v>102</v>
      </c>
      <c r="H69" s="3" t="s">
        <v>103</v>
      </c>
      <c r="I69" s="4" t="n">
        <v>8000</v>
      </c>
    </row>
    <row r="70" customFormat="false" ht="15" hidden="false" customHeight="false" outlineLevel="0" collapsed="false">
      <c r="A70" s="0" t="n">
        <v>21</v>
      </c>
      <c r="B70" s="2" t="n">
        <v>46008</v>
      </c>
      <c r="C70" s="0" t="n">
        <v>2025</v>
      </c>
      <c r="D70" s="0" t="n">
        <v>12</v>
      </c>
      <c r="E70" s="3" t="s">
        <v>43</v>
      </c>
      <c r="F70" s="3" t="s">
        <v>60</v>
      </c>
      <c r="G70" s="3" t="s">
        <v>111</v>
      </c>
      <c r="H70" s="3" t="s">
        <v>86</v>
      </c>
      <c r="I70" s="4" t="n">
        <v>1500</v>
      </c>
    </row>
    <row r="71" customFormat="false" ht="15" hidden="false" customHeight="false" outlineLevel="0" collapsed="false">
      <c r="A71" s="0" t="n">
        <v>22</v>
      </c>
      <c r="B71" s="2" t="n">
        <v>46010</v>
      </c>
      <c r="C71" s="0" t="n">
        <v>2025</v>
      </c>
      <c r="D71" s="0" t="n">
        <v>12</v>
      </c>
      <c r="E71" s="3" t="s">
        <v>43</v>
      </c>
      <c r="F71" s="3" t="s">
        <v>112</v>
      </c>
      <c r="G71" s="3" t="s">
        <v>99</v>
      </c>
      <c r="H71" s="3" t="s">
        <v>77</v>
      </c>
      <c r="I71" s="4" t="n">
        <v>12000</v>
      </c>
    </row>
    <row r="72" customFormat="false" ht="15" hidden="false" customHeight="false" outlineLevel="0" collapsed="false">
      <c r="A72" s="0" t="n">
        <v>22</v>
      </c>
      <c r="B72" s="2" t="n">
        <v>46010</v>
      </c>
      <c r="C72" s="0" t="n">
        <v>2025</v>
      </c>
      <c r="D72" s="0" t="n">
        <v>12</v>
      </c>
      <c r="E72" s="3" t="s">
        <v>43</v>
      </c>
      <c r="F72" s="3" t="s">
        <v>112</v>
      </c>
      <c r="G72" s="3" t="s">
        <v>113</v>
      </c>
      <c r="H72" s="3" t="s">
        <v>82</v>
      </c>
      <c r="I72" s="4" t="n">
        <v>5000</v>
      </c>
    </row>
    <row r="73" customFormat="false" ht="15" hidden="false" customHeight="false" outlineLevel="0" collapsed="false">
      <c r="A73" s="0" t="n">
        <v>22</v>
      </c>
      <c r="B73" s="2" t="n">
        <v>46010</v>
      </c>
      <c r="C73" s="0" t="n">
        <v>2025</v>
      </c>
      <c r="D73" s="0" t="n">
        <v>12</v>
      </c>
      <c r="E73" s="3" t="s">
        <v>43</v>
      </c>
      <c r="F73" s="3" t="s">
        <v>112</v>
      </c>
      <c r="G73" s="3" t="s">
        <v>114</v>
      </c>
      <c r="H73" s="3" t="s">
        <v>83</v>
      </c>
      <c r="I73" s="4" t="n">
        <v>50000</v>
      </c>
    </row>
    <row r="74" customFormat="false" ht="15" hidden="false" customHeight="false" outlineLevel="0" collapsed="false">
      <c r="A74" s="0" t="n">
        <v>22</v>
      </c>
      <c r="B74" s="2" t="n">
        <v>46010</v>
      </c>
      <c r="C74" s="0" t="n">
        <v>2025</v>
      </c>
      <c r="D74" s="0" t="n">
        <v>12</v>
      </c>
      <c r="E74" s="3" t="s">
        <v>43</v>
      </c>
      <c r="F74" s="3" t="s">
        <v>112</v>
      </c>
      <c r="G74" s="3" t="s">
        <v>90</v>
      </c>
      <c r="H74" s="3" t="s">
        <v>90</v>
      </c>
      <c r="I74" s="4" t="n">
        <v>7000</v>
      </c>
    </row>
    <row r="75" customFormat="false" ht="15" hidden="false" customHeight="false" outlineLevel="0" collapsed="false">
      <c r="A75" s="0" t="n">
        <v>23</v>
      </c>
      <c r="B75" s="2" t="n">
        <v>46015</v>
      </c>
      <c r="C75" s="0" t="n">
        <v>2025</v>
      </c>
      <c r="D75" s="0" t="n">
        <v>12</v>
      </c>
      <c r="E75" s="3" t="s">
        <v>43</v>
      </c>
      <c r="F75" s="3" t="s">
        <v>64</v>
      </c>
      <c r="G75" s="3" t="s">
        <v>115</v>
      </c>
      <c r="H75" s="3" t="s">
        <v>77</v>
      </c>
      <c r="I75" s="4" t="n">
        <v>12000</v>
      </c>
    </row>
    <row r="76" customFormat="false" ht="15" hidden="false" customHeight="false" outlineLevel="0" collapsed="false">
      <c r="A76" s="0" t="n">
        <v>23</v>
      </c>
      <c r="B76" s="2" t="n">
        <v>46015</v>
      </c>
      <c r="C76" s="0" t="n">
        <v>2025</v>
      </c>
      <c r="D76" s="0" t="n">
        <v>12</v>
      </c>
      <c r="E76" s="3" t="s">
        <v>43</v>
      </c>
      <c r="F76" s="3" t="s">
        <v>64</v>
      </c>
      <c r="G76" s="3" t="s">
        <v>116</v>
      </c>
      <c r="H76" s="3" t="s">
        <v>82</v>
      </c>
      <c r="I76" s="4" t="n">
        <v>3000</v>
      </c>
    </row>
    <row r="77" customFormat="false" ht="15" hidden="false" customHeight="false" outlineLevel="0" collapsed="false">
      <c r="A77" s="0" t="n">
        <v>24</v>
      </c>
      <c r="B77" s="2" t="n">
        <v>46091</v>
      </c>
      <c r="C77" s="0" t="n">
        <v>2026</v>
      </c>
      <c r="D77" s="0" t="n">
        <v>3</v>
      </c>
      <c r="E77" s="3" t="s">
        <v>43</v>
      </c>
      <c r="F77" s="3" t="s">
        <v>117</v>
      </c>
      <c r="G77" s="3" t="s">
        <v>118</v>
      </c>
      <c r="H77" s="3" t="s">
        <v>88</v>
      </c>
      <c r="I77" s="4" t="n">
        <v>26600</v>
      </c>
    </row>
    <row r="78" customFormat="false" ht="15" hidden="false" customHeight="false" outlineLevel="0" collapsed="false">
      <c r="A78" s="0" t="n">
        <v>24</v>
      </c>
      <c r="B78" s="2" t="n">
        <v>46091</v>
      </c>
      <c r="C78" s="0" t="n">
        <v>2026</v>
      </c>
      <c r="D78" s="0" t="n">
        <v>3</v>
      </c>
      <c r="E78" s="3" t="s">
        <v>43</v>
      </c>
      <c r="F78" s="3" t="s">
        <v>117</v>
      </c>
      <c r="G78" s="3" t="s">
        <v>119</v>
      </c>
      <c r="H78" s="3" t="s">
        <v>86</v>
      </c>
      <c r="I78" s="4" t="n">
        <v>2000</v>
      </c>
    </row>
    <row r="79" customFormat="false" ht="15" hidden="false" customHeight="false" outlineLevel="0" collapsed="false">
      <c r="A79" s="0" t="n">
        <v>24</v>
      </c>
      <c r="B79" s="2" t="n">
        <v>46091</v>
      </c>
      <c r="C79" s="0" t="n">
        <v>2026</v>
      </c>
      <c r="D79" s="0" t="n">
        <v>3</v>
      </c>
      <c r="E79" s="3" t="s">
        <v>43</v>
      </c>
      <c r="F79" s="3" t="s">
        <v>117</v>
      </c>
      <c r="G79" s="3" t="s">
        <v>120</v>
      </c>
      <c r="H79" s="3" t="s">
        <v>80</v>
      </c>
      <c r="I79" s="4" t="n">
        <v>10400</v>
      </c>
    </row>
    <row r="80" customFormat="false" ht="15" hidden="false" customHeight="false" outlineLevel="0" collapsed="false">
      <c r="A80" s="0" t="n">
        <v>24</v>
      </c>
      <c r="B80" s="2" t="n">
        <v>46091</v>
      </c>
      <c r="C80" s="0" t="n">
        <v>2026</v>
      </c>
      <c r="D80" s="0" t="n">
        <v>3</v>
      </c>
      <c r="E80" s="3" t="s">
        <v>43</v>
      </c>
      <c r="F80" s="3" t="s">
        <v>117</v>
      </c>
      <c r="G80" s="3" t="s">
        <v>121</v>
      </c>
      <c r="H80" s="3" t="s">
        <v>80</v>
      </c>
      <c r="I80" s="4" t="n">
        <v>5200</v>
      </c>
    </row>
    <row r="81" customFormat="false" ht="15" hidden="false" customHeight="false" outlineLevel="0" collapsed="false">
      <c r="A81" s="0" t="n">
        <v>24</v>
      </c>
      <c r="B81" s="2" t="n">
        <v>46091</v>
      </c>
      <c r="C81" s="0" t="n">
        <v>2026</v>
      </c>
      <c r="D81" s="0" t="n">
        <v>3</v>
      </c>
      <c r="E81" s="3" t="s">
        <v>43</v>
      </c>
      <c r="F81" s="3" t="s">
        <v>117</v>
      </c>
      <c r="G81" s="3" t="s">
        <v>122</v>
      </c>
      <c r="H81" s="3" t="s">
        <v>80</v>
      </c>
      <c r="I81" s="4" t="n">
        <v>19200</v>
      </c>
    </row>
    <row r="82" customFormat="false" ht="15" hidden="false" customHeight="false" outlineLevel="0" collapsed="false">
      <c r="A82" s="0" t="n">
        <v>24</v>
      </c>
      <c r="B82" s="2" t="n">
        <v>46091</v>
      </c>
      <c r="C82" s="0" t="n">
        <v>2026</v>
      </c>
      <c r="D82" s="0" t="n">
        <v>3</v>
      </c>
      <c r="E82" s="3" t="s">
        <v>43</v>
      </c>
      <c r="F82" s="3" t="s">
        <v>117</v>
      </c>
      <c r="G82" s="3" t="s">
        <v>99</v>
      </c>
      <c r="H82" s="3" t="s">
        <v>77</v>
      </c>
      <c r="I82" s="4" t="n">
        <v>12000</v>
      </c>
    </row>
    <row r="83" customFormat="false" ht="15" hidden="false" customHeight="false" outlineLevel="0" collapsed="false">
      <c r="A83" s="0" t="n">
        <v>24</v>
      </c>
      <c r="B83" s="2" t="n">
        <v>46091</v>
      </c>
      <c r="C83" s="0" t="n">
        <v>2026</v>
      </c>
      <c r="D83" s="0" t="n">
        <v>3</v>
      </c>
      <c r="E83" s="3" t="s">
        <v>43</v>
      </c>
      <c r="F83" s="3" t="s">
        <v>117</v>
      </c>
      <c r="G83" s="3" t="s">
        <v>123</v>
      </c>
      <c r="H83" s="3" t="s">
        <v>80</v>
      </c>
      <c r="I83" s="4" t="n">
        <v>7200</v>
      </c>
    </row>
    <row r="84" customFormat="false" ht="15" hidden="false" customHeight="false" outlineLevel="0" collapsed="false">
      <c r="A84" s="0" t="n">
        <v>24</v>
      </c>
      <c r="B84" s="2" t="n">
        <v>46091</v>
      </c>
      <c r="C84" s="0" t="n">
        <v>2026</v>
      </c>
      <c r="D84" s="0" t="n">
        <v>3</v>
      </c>
      <c r="E84" s="3" t="s">
        <v>43</v>
      </c>
      <c r="F84" s="3" t="s">
        <v>117</v>
      </c>
      <c r="G84" s="3" t="s">
        <v>124</v>
      </c>
      <c r="H84" s="3" t="s">
        <v>124</v>
      </c>
      <c r="I84" s="4" t="n">
        <v>3000</v>
      </c>
    </row>
    <row r="85" customFormat="false" ht="15" hidden="false" customHeight="false" outlineLevel="0" collapsed="false">
      <c r="A85" s="0" t="n">
        <v>24</v>
      </c>
      <c r="B85" s="2" t="n">
        <v>46091</v>
      </c>
      <c r="C85" s="0" t="n">
        <v>2026</v>
      </c>
      <c r="D85" s="0" t="n">
        <v>3</v>
      </c>
      <c r="E85" s="3" t="s">
        <v>43</v>
      </c>
      <c r="F85" s="3" t="s">
        <v>117</v>
      </c>
      <c r="G85" s="3" t="s">
        <v>78</v>
      </c>
      <c r="H85" s="3" t="s">
        <v>78</v>
      </c>
      <c r="I85" s="4" t="n">
        <v>7200</v>
      </c>
    </row>
    <row r="86" customFormat="false" ht="15" hidden="false" customHeight="false" outlineLevel="0" collapsed="false">
      <c r="A86" s="0" t="n">
        <v>24</v>
      </c>
      <c r="B86" s="2" t="n">
        <v>46091</v>
      </c>
      <c r="C86" s="0" t="n">
        <v>2026</v>
      </c>
      <c r="D86" s="0" t="n">
        <v>3</v>
      </c>
      <c r="E86" s="3" t="s">
        <v>43</v>
      </c>
      <c r="F86" s="3" t="s">
        <v>117</v>
      </c>
      <c r="G86" s="3" t="s">
        <v>125</v>
      </c>
      <c r="H86" s="3" t="s">
        <v>80</v>
      </c>
      <c r="I86" s="4" t="n">
        <v>20000</v>
      </c>
    </row>
    <row r="87" customFormat="false" ht="15" hidden="false" customHeight="false" outlineLevel="0" collapsed="false">
      <c r="A87" s="0" t="n">
        <v>24</v>
      </c>
      <c r="B87" s="2" t="n">
        <v>46091</v>
      </c>
      <c r="C87" s="0" t="n">
        <v>2026</v>
      </c>
      <c r="D87" s="0" t="n">
        <v>3</v>
      </c>
      <c r="E87" s="3" t="s">
        <v>43</v>
      </c>
      <c r="F87" s="3" t="s">
        <v>117</v>
      </c>
      <c r="G87" s="3" t="s">
        <v>99</v>
      </c>
      <c r="H87" s="3" t="s">
        <v>77</v>
      </c>
      <c r="I87" s="4" t="n">
        <v>12000</v>
      </c>
    </row>
    <row r="88" customFormat="false" ht="15" hidden="false" customHeight="false" outlineLevel="0" collapsed="false">
      <c r="A88" s="0" t="n">
        <v>24</v>
      </c>
      <c r="B88" s="2" t="n">
        <v>46091</v>
      </c>
      <c r="C88" s="0" t="n">
        <v>2026</v>
      </c>
      <c r="D88" s="0" t="n">
        <v>3</v>
      </c>
      <c r="E88" s="3" t="s">
        <v>43</v>
      </c>
      <c r="F88" s="3" t="s">
        <v>117</v>
      </c>
      <c r="G88" s="3" t="s">
        <v>126</v>
      </c>
      <c r="H88" s="3" t="s">
        <v>82</v>
      </c>
      <c r="I88" s="4" t="n">
        <v>5300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s>
  <sheetData>
    <row r="1" customFormat="false" ht="15" hidden="false" customHeight="false" outlineLevel="0" collapsed="false">
      <c r="A1" s="1" t="s">
        <v>70</v>
      </c>
    </row>
    <row r="2" customFormat="false" ht="15" hidden="false" customHeight="false" outlineLevel="0" collapsed="false">
      <c r="A2" s="0" t="s">
        <v>77</v>
      </c>
    </row>
    <row r="3" customFormat="false" ht="15" hidden="false" customHeight="false" outlineLevel="0" collapsed="false">
      <c r="A3" s="0" t="s">
        <v>100</v>
      </c>
    </row>
    <row r="4" customFormat="false" ht="15" hidden="false" customHeight="false" outlineLevel="0" collapsed="false">
      <c r="A4" s="0" t="s">
        <v>82</v>
      </c>
    </row>
    <row r="5" customFormat="false" ht="15" hidden="false" customHeight="false" outlineLevel="0" collapsed="false">
      <c r="A5" s="0" t="s">
        <v>80</v>
      </c>
    </row>
    <row r="6" customFormat="false" ht="15" hidden="false" customHeight="false" outlineLevel="0" collapsed="false">
      <c r="A6" s="0" t="s">
        <v>103</v>
      </c>
    </row>
    <row r="7" customFormat="false" ht="15" hidden="false" customHeight="false" outlineLevel="0" collapsed="false">
      <c r="A7" s="0" t="s">
        <v>86</v>
      </c>
    </row>
    <row r="8" customFormat="false" ht="15" hidden="false" customHeight="false" outlineLevel="0" collapsed="false">
      <c r="A8" s="0" t="s">
        <v>88</v>
      </c>
    </row>
    <row r="9" customFormat="false" ht="15" hidden="false" customHeight="false" outlineLevel="0" collapsed="false">
      <c r="A9" s="0" t="s">
        <v>83</v>
      </c>
    </row>
    <row r="10" customFormat="false" ht="15" hidden="false" customHeight="false" outlineLevel="0" collapsed="false">
      <c r="A10" s="0" t="s">
        <v>90</v>
      </c>
    </row>
    <row r="11" customFormat="false" ht="15" hidden="false" customHeight="false" outlineLevel="0" collapsed="false">
      <c r="A11" s="0" t="s">
        <v>124</v>
      </c>
    </row>
    <row r="12" customFormat="false" ht="15" hidden="false" customHeight="false" outlineLevel="0" collapsed="false">
      <c r="A12" s="0" t="s">
        <v>78</v>
      </c>
    </row>
    <row r="13" customFormat="false" ht="15" hidden="false" customHeight="false" outlineLevel="0" collapsed="false">
      <c r="A13" s="0" t="s">
        <v>76</v>
      </c>
    </row>
    <row r="14" customFormat="false" ht="15" hidden="false" customHeight="false" outlineLevel="0" collapsed="false">
      <c r="A14" s="0" t="s">
        <v>74</v>
      </c>
    </row>
    <row r="15" customFormat="false" ht="15" hidden="false" customHeight="false" outlineLevel="0" collapsed="false">
      <c r="A15" s="0" t="s">
        <v>81</v>
      </c>
    </row>
    <row r="16" customFormat="false" ht="15" hidden="false" customHeight="false" outlineLevel="0" collapsed="false">
      <c r="A16" s="0" t="s">
        <v>75</v>
      </c>
    </row>
    <row r="17" customFormat="false" ht="15" hidden="false" customHeight="false" outlineLevel="0" collapsed="false">
      <c r="A17" s="0"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2026-07-29T23:00:26Z</dcterms:created>
  <dc:creator>openpyxl</dc:creator>
  <dc:description/>
  <dc:language>en-US</dc:language>
  <cp:lastModifiedBy/>
  <dcterms:modified xsi:type="dcterms:W3CDTF">2026-07-29T23:00:26Z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